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loa\volume1\docs\"/>
    </mc:Choice>
  </mc:AlternateContent>
  <bookViews>
    <workbookView xWindow="300" yWindow="3090" windowWidth="15180" windowHeight="4470"/>
  </bookViews>
  <sheets>
    <sheet name="Plan1" sheetId="1" r:id="rId1"/>
  </sheets>
  <definedNames>
    <definedName name="_xlnm._FilterDatabase" localSheetId="0" hidden="1">Plan1!$A$8:$N$64</definedName>
    <definedName name="_xlnm.Print_Area" localSheetId="0">Plan1!$A$1:$N$79</definedName>
  </definedNames>
  <calcPr calcId="162913"/>
</workbook>
</file>

<file path=xl/calcChain.xml><?xml version="1.0" encoding="utf-8"?>
<calcChain xmlns="http://schemas.openxmlformats.org/spreadsheetml/2006/main">
  <c r="B74" i="1" l="1"/>
  <c r="D74" i="1" l="1"/>
  <c r="F74" i="1" l="1"/>
</calcChain>
</file>

<file path=xl/sharedStrings.xml><?xml version="1.0" encoding="utf-8"?>
<sst xmlns="http://schemas.openxmlformats.org/spreadsheetml/2006/main" count="139" uniqueCount="86">
  <si>
    <t>RECEITA ORCAMENTÁRIA</t>
  </si>
  <si>
    <t xml:space="preserve">ORDINÁRIA </t>
  </si>
  <si>
    <t>% PART</t>
  </si>
  <si>
    <t>VINCULADA</t>
  </si>
  <si>
    <t>TOTAL</t>
  </si>
  <si>
    <t>RECEITAS CORRENTES</t>
  </si>
  <si>
    <t>RECEITAS DE CAPITAL</t>
  </si>
  <si>
    <t>DEDUÇÕES DA RECEITA CORRENTE</t>
  </si>
  <si>
    <t>DESPESAS CORRENTES</t>
  </si>
  <si>
    <t>DESPESAS DE CAPITAL</t>
  </si>
  <si>
    <t>DESPESA ORCAMENTÁRIA</t>
  </si>
  <si>
    <t>Em R$1,00</t>
  </si>
  <si>
    <t>TOTAL DA RECEITA FISCAL</t>
  </si>
  <si>
    <t>TOTAL DA RECEITA INTRA-ORÇAMENTÁRIA</t>
  </si>
  <si>
    <t>TOTAL DA DESPESA INTRA-ORÇAMENTÁRIA</t>
  </si>
  <si>
    <t>TOTAL DA RECEITA FISCAL ( EXCETO INTRA - ORÇAMENTÁRIAS )</t>
  </si>
  <si>
    <t>TOTAL DA DESPESA  FISCAL ( EXCETO INTRA - ORÇAMENTÁRIAS )</t>
  </si>
  <si>
    <t>TOTAL DA DESPESA FISCAL</t>
  </si>
  <si>
    <t>Nota: A partir do exercício de 2014, as despesas com pagamento de pensões civis do RPPS e dos militares deixaram de ser classificadas no grupo de despesa 3 – Outras Despesas Correntes, e passaram a ser classificadas no grupo de despesa 1 – Pessoal e Encargos Sociais.</t>
  </si>
  <si>
    <t>RESULTADO FISCAL</t>
  </si>
  <si>
    <t>Fonte: Armazém SISOR</t>
  </si>
  <si>
    <t xml:space="preserve">  IMPOSTOS, TAXAS E CONTRIBUIÇÕES DE MELHORIA</t>
  </si>
  <si>
    <t xml:space="preserve">   PESSOAL E ENCARGOS SOCIAIS</t>
  </si>
  <si>
    <t xml:space="preserve">    PRINCIPAL</t>
  </si>
  <si>
    <t xml:space="preserve">    EXECUTIVO</t>
  </si>
  <si>
    <t xml:space="preserve">      ICMS</t>
  </si>
  <si>
    <t xml:space="preserve">     ADMINISTRAÇÃO DIRETA</t>
  </si>
  <si>
    <t xml:space="preserve">      IPVA</t>
  </si>
  <si>
    <t xml:space="preserve">     ADMINISTRAÇÃO INDIRETA</t>
  </si>
  <si>
    <t xml:space="preserve">      ITCD</t>
  </si>
  <si>
    <t xml:space="preserve">      AUTARQUIAS E FUNDAÇÕES</t>
  </si>
  <si>
    <t xml:space="preserve">      IRRF</t>
  </si>
  <si>
    <t xml:space="preserve">      EMPRESAS ESTATAIS DEPENDENTES</t>
  </si>
  <si>
    <t xml:space="preserve">      TAXAS</t>
  </si>
  <si>
    <t xml:space="preserve">      FUNDOS</t>
  </si>
  <si>
    <t xml:space="preserve">    ACESSÓRIAS [DÍVIDA ATIVA, MULTAS E JUROS]</t>
  </si>
  <si>
    <t xml:space="preserve">    OUTROS PODERES</t>
  </si>
  <si>
    <t xml:space="preserve">   JUROS E ENCARGOS DA DIVIDA</t>
  </si>
  <si>
    <t xml:space="preserve">  RECEITA DE CONTRIBUIÇÕES</t>
  </si>
  <si>
    <t xml:space="preserve">  TRANSFERÊNCIAS DA UNIÃO</t>
  </si>
  <si>
    <t xml:space="preserve">    FPE</t>
  </si>
  <si>
    <t xml:space="preserve">   OUTRAS DESPESAS CORRENTES</t>
  </si>
  <si>
    <t xml:space="preserve">    FUNDO EXPORTAÇÃO - IPI</t>
  </si>
  <si>
    <t xml:space="preserve">    QESE - SALÁRIO EDUCAÇÃO</t>
  </si>
  <si>
    <t xml:space="preserve">    LEI  COMPLEMENTAR Nº 87/96</t>
  </si>
  <si>
    <t xml:space="preserve">    TRANSFERÊNCIAS  SUS</t>
  </si>
  <si>
    <t xml:space="preserve">    COTA-PARTE DA CIDE</t>
  </si>
  <si>
    <t xml:space="preserve">    COTA -PARTE DA COMP. FINANCEIRA - RECURSOS HÍDRICOS</t>
  </si>
  <si>
    <t xml:space="preserve">    COTA -PARTE DA COMP. FINANCEIRA - RECURSOS MINERAIS</t>
  </si>
  <si>
    <t xml:space="preserve">    COTA -PARTE ROYALTIES - COMP. FINANC. - PROD. DE PETRÓLEO</t>
  </si>
  <si>
    <t xml:space="preserve">    OURAS TRANSFERÊNCIAS DA UNIÀO</t>
  </si>
  <si>
    <t xml:space="preserve">  TRANSFERÊNCIAS MULTIGOVERNAMENTAIS</t>
  </si>
  <si>
    <t xml:space="preserve">  OUTRAS TRANSFERÊNCIAS</t>
  </si>
  <si>
    <t xml:space="preserve">  TRANSFERÊNCIAS DE CONVÊNIOS</t>
  </si>
  <si>
    <t xml:space="preserve">   REC. CONSTITUCIONAIS VINC. MUNICÍPIOS</t>
  </si>
  <si>
    <t xml:space="preserve">  OUTRAS RECEITAS CORRENTES</t>
  </si>
  <si>
    <t xml:space="preserve">    RECEITA PATRIMONIAL</t>
  </si>
  <si>
    <t xml:space="preserve">    RECEITA AGROPECUÁRIA</t>
  </si>
  <si>
    <t xml:space="preserve">    RECEITA INDUSTRIAL</t>
  </si>
  <si>
    <t xml:space="preserve">   INVESTIMENTOS</t>
  </si>
  <si>
    <t xml:space="preserve">    RECEITA DE SERVIÇOS</t>
  </si>
  <si>
    <t xml:space="preserve">    RECEITAS DIVERSAS</t>
  </si>
  <si>
    <t xml:space="preserve">  OPERAÇÕES DE CRÉDITO</t>
  </si>
  <si>
    <t xml:space="preserve">    INTERNA</t>
  </si>
  <si>
    <t xml:space="preserve">    EXTERNA</t>
  </si>
  <si>
    <t xml:space="preserve">  ALIENAÇÃO DE BENS</t>
  </si>
  <si>
    <t xml:space="preserve">  AMORTIZAÇÃO DE EMPRÉSTIMOS</t>
  </si>
  <si>
    <t xml:space="preserve">   INVERSOES FINANCEIRAS</t>
  </si>
  <si>
    <t xml:space="preserve">  OUTRAS RECEITAS</t>
  </si>
  <si>
    <t xml:space="preserve">    ICMS</t>
  </si>
  <si>
    <t xml:space="preserve">    IPI</t>
  </si>
  <si>
    <t xml:space="preserve">    ICMS - DESONERAÇÃO - LEI COMPLEMENTAR 87/96</t>
  </si>
  <si>
    <t xml:space="preserve">    MULTAS DO ICMS</t>
  </si>
  <si>
    <t xml:space="preserve">    DÍVIDA ATIVA TRIBUTÁRIA ICMS</t>
  </si>
  <si>
    <t xml:space="preserve">    IPVA</t>
  </si>
  <si>
    <t xml:space="preserve">   AMORTIZACAO DA DIVIDA</t>
  </si>
  <si>
    <t xml:space="preserve">    ITCD</t>
  </si>
  <si>
    <t xml:space="preserve">    MULTAS DO ITCD</t>
  </si>
  <si>
    <t xml:space="preserve">    MULTAS DO IPVA</t>
  </si>
  <si>
    <t xml:space="preserve">    DÍVIDA ATIVA DO IPVA</t>
  </si>
  <si>
    <t xml:space="preserve">    DÍVIDA ATIVA DO ITCD</t>
  </si>
  <si>
    <t xml:space="preserve">    CESSÃO DE DIREITOS CREDITÓRIOS</t>
  </si>
  <si>
    <t>Elaboração: DCAF/SCPPO/SEPLAG</t>
  </si>
  <si>
    <t>DEMONSTRATIVO CONSOLIDADO - ORÇAMENTO FISCAL 
(Art. 7º, Inciso I da Lei 23.086/2018 - LDO)</t>
  </si>
  <si>
    <t>RESERVA DE CONTIGÊNCIA</t>
  </si>
  <si>
    <t>EXERCÍCIO: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</si>
</sst>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0_);[Red]\(0\)"/>
    <numFmt numFmtId="166" formatCode="_(* #,##0_);_(* \(#,##0\);_(* &quot;-&quot;??_);_(@_)"/>
    <numFmt numFmtId="167" formatCode="_-* #,##0_-;\-* #,##0_-;_-* &quot;-&quot;??_-;_-@_-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9"/>
      <name val="Times New Roman"/>
      <family val="1"/>
    </font>
    <font>
      <b/>
      <sz val="9"/>
      <name val="Arial"/>
      <family val="2"/>
    </font>
    <font>
      <b/>
      <sz val="9"/>
      <name val="Arial"/>
      <family val="2"/>
    </font>
    <font>
      <sz val="10"/>
      <color indexed="60"/>
      <name val="Arial"/>
      <family val="2"/>
    </font>
    <font>
      <sz val="8"/>
      <color indexed="60"/>
      <name val="Times New Roman"/>
      <family val="1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40" fontId="3" fillId="0" borderId="0" xfId="0" applyNumberFormat="1" applyFont="1"/>
    <xf numFmtId="40" fontId="3" fillId="0" borderId="0" xfId="0" applyNumberFormat="1" applyFont="1" applyAlignment="1"/>
    <xf numFmtId="40" fontId="1" fillId="0" borderId="0" xfId="0" applyNumberFormat="1" applyFont="1" applyAlignment="1">
      <alignment horizontal="centerContinuous"/>
    </xf>
    <xf numFmtId="40" fontId="5" fillId="0" borderId="0" xfId="0" applyNumberFormat="1" applyFont="1"/>
    <xf numFmtId="40" fontId="3" fillId="0" borderId="0" xfId="0" applyNumberFormat="1" applyFont="1" applyFill="1"/>
    <xf numFmtId="3" fontId="0" fillId="0" borderId="0" xfId="0" applyNumberFormat="1"/>
    <xf numFmtId="3" fontId="3" fillId="0" borderId="0" xfId="0" applyNumberFormat="1" applyFont="1"/>
    <xf numFmtId="0" fontId="0" fillId="0" borderId="0" xfId="0" applyAlignment="1">
      <alignment horizontal="right"/>
    </xf>
    <xf numFmtId="40" fontId="12" fillId="0" borderId="0" xfId="0" applyNumberFormat="1" applyFont="1" applyBorder="1" applyAlignment="1" applyProtection="1">
      <alignment horizontal="left"/>
    </xf>
    <xf numFmtId="2" fontId="11" fillId="0" borderId="0" xfId="0" applyNumberFormat="1" applyFont="1"/>
    <xf numFmtId="0" fontId="11" fillId="0" borderId="7" xfId="0" applyFont="1" applyBorder="1"/>
    <xf numFmtId="2" fontId="11" fillId="0" borderId="0" xfId="0" applyNumberFormat="1" applyFont="1" applyBorder="1"/>
    <xf numFmtId="40" fontId="10" fillId="0" borderId="0" xfId="0" applyNumberFormat="1" applyFont="1" applyBorder="1"/>
    <xf numFmtId="0" fontId="6" fillId="0" borderId="4" xfId="0" applyFont="1" applyBorder="1"/>
    <xf numFmtId="2" fontId="6" fillId="0" borderId="0" xfId="0" applyNumberFormat="1" applyFont="1"/>
    <xf numFmtId="40" fontId="10" fillId="0" borderId="7" xfId="0" applyNumberFormat="1" applyFont="1" applyBorder="1"/>
    <xf numFmtId="0" fontId="11" fillId="0" borderId="0" xfId="0" applyFont="1" applyAlignment="1">
      <alignment horizontal="left" indent="1"/>
    </xf>
    <xf numFmtId="2" fontId="11" fillId="0" borderId="4" xfId="0" applyNumberFormat="1" applyFont="1" applyBorder="1"/>
    <xf numFmtId="2" fontId="7" fillId="0" borderId="4" xfId="0" applyNumberFormat="1" applyFont="1" applyBorder="1"/>
    <xf numFmtId="2" fontId="6" fillId="0" borderId="0" xfId="0" applyNumberFormat="1" applyFont="1" applyBorder="1"/>
    <xf numFmtId="40" fontId="6" fillId="0" borderId="0" xfId="0" applyNumberFormat="1" applyFont="1" applyBorder="1" applyAlignment="1" applyProtection="1">
      <alignment horizontal="left" indent="2"/>
    </xf>
    <xf numFmtId="0" fontId="6" fillId="0" borderId="7" xfId="0" applyFont="1" applyBorder="1" applyAlignment="1">
      <alignment horizontal="left" indent="1"/>
    </xf>
    <xf numFmtId="0" fontId="6" fillId="0" borderId="7" xfId="0" applyFont="1" applyBorder="1" applyAlignment="1">
      <alignment horizontal="left" indent="2"/>
    </xf>
    <xf numFmtId="0" fontId="6" fillId="0" borderId="7" xfId="0" applyFont="1" applyBorder="1" applyAlignment="1">
      <alignment horizontal="left" indent="3"/>
    </xf>
    <xf numFmtId="0" fontId="6" fillId="0" borderId="7" xfId="0" applyFont="1" applyBorder="1"/>
    <xf numFmtId="40" fontId="11" fillId="0" borderId="0" xfId="0" applyNumberFormat="1" applyFont="1" applyBorder="1" applyAlignment="1" applyProtection="1">
      <alignment horizontal="left"/>
    </xf>
    <xf numFmtId="40" fontId="13" fillId="0" borderId="0" xfId="0" applyNumberFormat="1" applyFont="1" applyFill="1" applyAlignment="1">
      <alignment horizontal="centerContinuous"/>
    </xf>
    <xf numFmtId="0" fontId="13" fillId="0" borderId="0" xfId="0" applyFont="1" applyFill="1"/>
    <xf numFmtId="40" fontId="9" fillId="0" borderId="0" xfId="0" applyNumberFormat="1" applyFont="1" applyFill="1" applyAlignment="1">
      <alignment horizontal="left"/>
    </xf>
    <xf numFmtId="166" fontId="0" fillId="0" borderId="0" xfId="0" applyNumberFormat="1"/>
    <xf numFmtId="2" fontId="11" fillId="0" borderId="8" xfId="0" applyNumberFormat="1" applyFont="1" applyBorder="1"/>
    <xf numFmtId="0" fontId="15" fillId="0" borderId="0" xfId="0" applyFont="1" applyFill="1" applyAlignment="1">
      <alignment horizontal="left"/>
    </xf>
    <xf numFmtId="1" fontId="15" fillId="0" borderId="0" xfId="0" applyNumberFormat="1" applyFont="1" applyFill="1" applyAlignment="1">
      <alignment horizontal="right"/>
    </xf>
    <xf numFmtId="167" fontId="15" fillId="0" borderId="0" xfId="1" applyNumberFormat="1" applyFont="1" applyFill="1" applyAlignment="1">
      <alignment vertical="center"/>
    </xf>
    <xf numFmtId="0" fontId="16" fillId="0" borderId="0" xfId="0" applyFont="1" applyFill="1" applyAlignment="1">
      <alignment horizontal="left"/>
    </xf>
    <xf numFmtId="1" fontId="16" fillId="0" borderId="0" xfId="0" applyNumberFormat="1" applyFont="1" applyFill="1" applyAlignment="1">
      <alignment horizontal="right"/>
    </xf>
    <xf numFmtId="167" fontId="16" fillId="0" borderId="0" xfId="1" applyNumberFormat="1" applyFont="1" applyFill="1" applyAlignment="1">
      <alignment vertical="center"/>
    </xf>
    <xf numFmtId="4" fontId="11" fillId="0" borderId="4" xfId="0" applyNumberFormat="1" applyFont="1" applyFill="1" applyBorder="1"/>
    <xf numFmtId="4" fontId="7" fillId="0" borderId="4" xfId="0" applyNumberFormat="1" applyFont="1" applyFill="1" applyBorder="1"/>
    <xf numFmtId="4" fontId="6" fillId="0" borderId="4" xfId="0" applyNumberFormat="1" applyFont="1" applyFill="1" applyBorder="1"/>
    <xf numFmtId="166" fontId="10" fillId="0" borderId="4" xfId="1" applyNumberFormat="1" applyFont="1" applyFill="1" applyBorder="1"/>
    <xf numFmtId="4" fontId="11" fillId="0" borderId="10" xfId="0" applyNumberFormat="1" applyFont="1" applyFill="1" applyBorder="1"/>
    <xf numFmtId="2" fontId="7" fillId="0" borderId="4" xfId="0" applyNumberFormat="1" applyFont="1" applyFill="1" applyBorder="1"/>
    <xf numFmtId="2" fontId="6" fillId="0" borderId="0" xfId="0" applyNumberFormat="1" applyFont="1" applyFill="1" applyBorder="1"/>
    <xf numFmtId="2" fontId="11" fillId="0" borderId="4" xfId="0" applyNumberFormat="1" applyFont="1" applyFill="1" applyBorder="1"/>
    <xf numFmtId="2" fontId="11" fillId="0" borderId="0" xfId="0" applyNumberFormat="1" applyFont="1" applyFill="1" applyBorder="1"/>
    <xf numFmtId="166" fontId="6" fillId="0" borderId="0" xfId="0" applyNumberFormat="1" applyFont="1" applyBorder="1"/>
    <xf numFmtId="0" fontId="0" fillId="0" borderId="0" xfId="0" applyBorder="1"/>
    <xf numFmtId="40" fontId="14" fillId="0" borderId="0" xfId="0" applyNumberFormat="1" applyFont="1" applyFill="1" applyBorder="1"/>
    <xf numFmtId="40" fontId="4" fillId="0" borderId="1" xfId="0" applyNumberFormat="1" applyFont="1" applyFill="1" applyBorder="1" applyAlignment="1" applyProtection="1">
      <alignment horizontal="center" vertical="center"/>
    </xf>
    <xf numFmtId="40" fontId="4" fillId="0" borderId="2" xfId="0" applyNumberFormat="1" applyFont="1" applyFill="1" applyBorder="1" applyAlignment="1">
      <alignment horizontal="center" vertical="center"/>
    </xf>
    <xf numFmtId="40" fontId="4" fillId="0" borderId="3" xfId="0" applyNumberFormat="1" applyFont="1" applyFill="1" applyBorder="1" applyAlignment="1">
      <alignment horizontal="center" vertical="center"/>
    </xf>
    <xf numFmtId="40" fontId="4" fillId="0" borderId="5" xfId="0" applyNumberFormat="1" applyFont="1" applyFill="1" applyBorder="1" applyAlignment="1" applyProtection="1">
      <alignment horizontal="center" vertical="center"/>
    </xf>
    <xf numFmtId="166" fontId="6" fillId="0" borderId="4" xfId="1" applyNumberFormat="1" applyFont="1" applyFill="1" applyBorder="1"/>
    <xf numFmtId="166" fontId="11" fillId="0" borderId="10" xfId="1" applyNumberFormat="1" applyFont="1" applyFill="1" applyBorder="1"/>
    <xf numFmtId="2" fontId="11" fillId="0" borderId="10" xfId="0" applyNumberFormat="1" applyFont="1" applyFill="1" applyBorder="1"/>
    <xf numFmtId="164" fontId="11" fillId="0" borderId="10" xfId="1" applyFont="1" applyFill="1" applyBorder="1"/>
    <xf numFmtId="4" fontId="7" fillId="0" borderId="6" xfId="0" applyNumberFormat="1" applyFont="1" applyFill="1" applyBorder="1"/>
    <xf numFmtId="4" fontId="6" fillId="0" borderId="6" xfId="0" applyNumberFormat="1" applyFont="1" applyFill="1" applyBorder="1"/>
    <xf numFmtId="2" fontId="6" fillId="0" borderId="11" xfId="0" applyNumberFormat="1" applyFont="1" applyBorder="1"/>
    <xf numFmtId="0" fontId="6" fillId="0" borderId="6" xfId="0" applyFont="1" applyBorder="1"/>
    <xf numFmtId="0" fontId="6" fillId="0" borderId="15" xfId="0" applyFont="1" applyBorder="1"/>
    <xf numFmtId="4" fontId="11" fillId="0" borderId="16" xfId="1" applyNumberFormat="1" applyFont="1" applyFill="1" applyBorder="1"/>
    <xf numFmtId="0" fontId="6" fillId="0" borderId="17" xfId="0" applyFont="1" applyBorder="1"/>
    <xf numFmtId="4" fontId="11" fillId="0" borderId="16" xfId="0" applyNumberFormat="1" applyFont="1" applyFill="1" applyBorder="1"/>
    <xf numFmtId="166" fontId="6" fillId="0" borderId="4" xfId="1" applyNumberFormat="1" applyFont="1" applyBorder="1"/>
    <xf numFmtId="166" fontId="6" fillId="0" borderId="6" xfId="1" applyNumberFormat="1" applyFont="1" applyFill="1" applyBorder="1"/>
    <xf numFmtId="166" fontId="7" fillId="0" borderId="4" xfId="1" applyNumberFormat="1" applyFont="1" applyFill="1" applyBorder="1"/>
    <xf numFmtId="166" fontId="11" fillId="0" borderId="6" xfId="1" applyNumberFormat="1" applyFont="1" applyBorder="1"/>
    <xf numFmtId="166" fontId="11" fillId="0" borderId="4" xfId="1" applyNumberFormat="1" applyFont="1" applyFill="1" applyBorder="1"/>
    <xf numFmtId="166" fontId="6" fillId="0" borderId="6" xfId="1" applyNumberFormat="1" applyFont="1" applyBorder="1"/>
    <xf numFmtId="166" fontId="10" fillId="0" borderId="4" xfId="1" applyNumberFormat="1" applyFont="1" applyBorder="1"/>
    <xf numFmtId="166" fontId="11" fillId="0" borderId="4" xfId="1" applyNumberFormat="1" applyFont="1" applyBorder="1"/>
    <xf numFmtId="166" fontId="11" fillId="0" borderId="10" xfId="1" applyNumberFormat="1" applyFont="1" applyBorder="1"/>
    <xf numFmtId="166" fontId="11" fillId="0" borderId="6" xfId="1" applyNumberFormat="1" applyFont="1" applyFill="1" applyBorder="1"/>
    <xf numFmtId="4" fontId="11" fillId="0" borderId="6" xfId="0" applyNumberFormat="1" applyFont="1" applyFill="1" applyBorder="1"/>
    <xf numFmtId="166" fontId="11" fillId="0" borderId="4" xfId="1" applyNumberFormat="1" applyFont="1" applyFill="1" applyBorder="1" applyAlignment="1">
      <alignment horizontal="left" indent="1"/>
    </xf>
    <xf numFmtId="4" fontId="11" fillId="0" borderId="4" xfId="0" applyNumberFormat="1" applyFont="1" applyFill="1" applyBorder="1" applyAlignment="1">
      <alignment horizontal="right"/>
    </xf>
    <xf numFmtId="2" fontId="11" fillId="0" borderId="6" xfId="0" applyNumberFormat="1" applyFont="1" applyFill="1" applyBorder="1"/>
    <xf numFmtId="40" fontId="10" fillId="0" borderId="4" xfId="0" applyNumberFormat="1" applyFont="1" applyFill="1" applyBorder="1"/>
    <xf numFmtId="0" fontId="6" fillId="0" borderId="6" xfId="0" applyFont="1" applyFill="1" applyBorder="1"/>
    <xf numFmtId="0" fontId="6" fillId="0" borderId="4" xfId="0" applyFont="1" applyFill="1" applyBorder="1"/>
    <xf numFmtId="40" fontId="3" fillId="0" borderId="6" xfId="0" applyNumberFormat="1" applyFont="1" applyBorder="1"/>
    <xf numFmtId="3" fontId="0" fillId="0" borderId="4" xfId="0" applyNumberFormat="1" applyBorder="1"/>
    <xf numFmtId="3" fontId="0" fillId="0" borderId="0" xfId="0" applyNumberFormat="1" applyBorder="1"/>
    <xf numFmtId="0" fontId="0" fillId="0" borderId="17" xfId="0" applyBorder="1"/>
    <xf numFmtId="0" fontId="1" fillId="0" borderId="0" xfId="0" applyFont="1"/>
    <xf numFmtId="3" fontId="11" fillId="0" borderId="10" xfId="0" applyNumberFormat="1" applyFont="1" applyBorder="1" applyAlignment="1"/>
    <xf numFmtId="0" fontId="11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/>
    <xf numFmtId="166" fontId="11" fillId="0" borderId="10" xfId="1" applyNumberFormat="1" applyFont="1" applyFill="1" applyBorder="1" applyAlignment="1">
      <alignment horizontal="right" vertical="center"/>
    </xf>
    <xf numFmtId="4" fontId="6" fillId="0" borderId="4" xfId="0" applyNumberFormat="1" applyFont="1" applyFill="1" applyBorder="1" applyAlignment="1">
      <alignment horizontal="right"/>
    </xf>
    <xf numFmtId="166" fontId="6" fillId="0" borderId="4" xfId="1" applyNumberFormat="1" applyFont="1" applyFill="1" applyBorder="1" applyAlignment="1">
      <alignment horizontal="left" indent="1"/>
    </xf>
    <xf numFmtId="40" fontId="6" fillId="0" borderId="0" xfId="0" applyNumberFormat="1" applyFont="1" applyBorder="1" applyAlignment="1" applyProtection="1">
      <alignment horizontal="left" indent="3"/>
    </xf>
    <xf numFmtId="0" fontId="6" fillId="0" borderId="0" xfId="0" applyFont="1" applyAlignment="1">
      <alignment horizontal="left" indent="1"/>
    </xf>
    <xf numFmtId="2" fontId="6" fillId="0" borderId="4" xfId="0" applyNumberFormat="1" applyFont="1" applyFill="1" applyBorder="1"/>
    <xf numFmtId="2" fontId="6" fillId="0" borderId="4" xfId="0" applyNumberFormat="1" applyFont="1" applyBorder="1"/>
    <xf numFmtId="0" fontId="11" fillId="0" borderId="2" xfId="0" applyFont="1" applyBorder="1" applyAlignment="1">
      <alignment horizontal="left" vertical="center"/>
    </xf>
    <xf numFmtId="165" fontId="17" fillId="2" borderId="0" xfId="0" applyNumberFormat="1" applyFont="1" applyFill="1" applyAlignment="1">
      <alignment horizontal="center" vertical="center" wrapText="1"/>
    </xf>
    <xf numFmtId="165" fontId="17" fillId="2" borderId="0" xfId="0" applyNumberFormat="1" applyFont="1" applyFill="1" applyAlignment="1">
      <alignment horizontal="center" vertical="center"/>
    </xf>
    <xf numFmtId="49" fontId="2" fillId="0" borderId="0" xfId="1" applyNumberFormat="1" applyFont="1" applyAlignment="1">
      <alignment horizontal="center"/>
    </xf>
    <xf numFmtId="40" fontId="11" fillId="0" borderId="13" xfId="0" applyNumberFormat="1" applyFont="1" applyBorder="1" applyAlignment="1" applyProtection="1">
      <alignment horizontal="left" vertical="center" wrapText="1"/>
    </xf>
    <xf numFmtId="40" fontId="12" fillId="0" borderId="14" xfId="0" applyNumberFormat="1" applyFont="1" applyBorder="1" applyAlignment="1" applyProtection="1">
      <alignment horizontal="left" vertical="center" wrapText="1"/>
    </xf>
    <xf numFmtId="40" fontId="12" fillId="0" borderId="13" xfId="0" applyNumberFormat="1" applyFont="1" applyBorder="1" applyAlignment="1" applyProtection="1">
      <alignment horizontal="left" vertical="center"/>
    </xf>
    <xf numFmtId="40" fontId="12" fillId="0" borderId="14" xfId="0" applyNumberFormat="1" applyFont="1" applyBorder="1" applyAlignment="1" applyProtection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8"/>
  <sheetViews>
    <sheetView showGridLines="0" tabSelected="1" view="pageBreakPreview" topLeftCell="A13" zoomScale="85" zoomScaleNormal="70" zoomScaleSheetLayoutView="85" workbookViewId="0">
      <selection activeCell="A73" sqref="A73:A74"/>
    </sheetView>
  </sheetViews>
  <sheetFormatPr defaultColWidth="12.5703125" defaultRowHeight="12.75" outlineLevelCol="1" x14ac:dyDescent="0.2"/>
  <cols>
    <col min="1" max="1" width="60.42578125" style="1" customWidth="1"/>
    <col min="2" max="2" width="19.42578125" style="1" customWidth="1" outlineLevel="1"/>
    <col min="3" max="3" width="10.42578125" style="1" customWidth="1" outlineLevel="1"/>
    <col min="4" max="4" width="19.140625" style="1" customWidth="1" outlineLevel="1"/>
    <col min="5" max="5" width="10.42578125" style="1" customWidth="1" outlineLevel="1"/>
    <col min="6" max="6" width="19.140625" style="1" customWidth="1" outlineLevel="1"/>
    <col min="7" max="7" width="10.42578125" customWidth="1" outlineLevel="1"/>
    <col min="8" max="8" width="48.5703125" customWidth="1" outlineLevel="1"/>
    <col min="9" max="9" width="19.140625" customWidth="1"/>
    <col min="10" max="10" width="10.42578125" customWidth="1"/>
    <col min="11" max="11" width="19.140625" customWidth="1"/>
    <col min="12" max="12" width="10.42578125" customWidth="1"/>
    <col min="13" max="13" width="19.140625" customWidth="1"/>
    <col min="14" max="14" width="10.42578125" customWidth="1"/>
    <col min="15" max="206" width="15.5703125" style="1" customWidth="1"/>
    <col min="207" max="16384" width="12.5703125" style="1"/>
  </cols>
  <sheetData>
    <row r="1" spans="1:14" x14ac:dyDescent="0.2">
      <c r="A1" s="101"/>
      <c r="B1" s="101"/>
      <c r="C1" s="101"/>
      <c r="D1" s="101"/>
      <c r="E1" s="101"/>
      <c r="F1" s="101"/>
      <c r="G1" s="101"/>
      <c r="I1" s="47"/>
      <c r="J1" s="47"/>
      <c r="K1" s="47"/>
      <c r="L1" s="47"/>
      <c r="M1" s="47"/>
      <c r="N1" s="48"/>
    </row>
    <row r="2" spans="1:14" s="2" customFormat="1" ht="50.1" customHeight="1" x14ac:dyDescent="0.2">
      <c r="A2" s="99" t="s">
        <v>83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3" spans="1:14" s="5" customFormat="1" x14ac:dyDescent="0.2">
      <c r="B3" s="27"/>
      <c r="C3" s="27"/>
      <c r="D3" s="27"/>
      <c r="E3" s="27"/>
      <c r="F3" s="28"/>
      <c r="G3" s="28"/>
      <c r="H3" s="28"/>
      <c r="I3" s="47"/>
      <c r="J3" s="47"/>
      <c r="K3" s="47"/>
      <c r="L3" s="47"/>
      <c r="M3" s="47"/>
      <c r="N3" s="49"/>
    </row>
    <row r="4" spans="1:14" ht="14.25" x14ac:dyDescent="0.2">
      <c r="A4" s="29" t="s">
        <v>85</v>
      </c>
      <c r="B4" s="3"/>
      <c r="C4" s="3"/>
      <c r="D4" s="3"/>
      <c r="E4" s="3"/>
      <c r="F4"/>
      <c r="N4" s="8" t="s">
        <v>11</v>
      </c>
    </row>
    <row r="5" spans="1:14" s="4" customFormat="1" ht="24.75" customHeight="1" x14ac:dyDescent="0.15">
      <c r="A5" s="50" t="s">
        <v>0</v>
      </c>
      <c r="B5" s="51" t="s">
        <v>1</v>
      </c>
      <c r="C5" s="51" t="s">
        <v>2</v>
      </c>
      <c r="D5" s="51" t="s">
        <v>3</v>
      </c>
      <c r="E5" s="51" t="s">
        <v>2</v>
      </c>
      <c r="F5" s="52" t="s">
        <v>4</v>
      </c>
      <c r="G5" s="52" t="s">
        <v>2</v>
      </c>
      <c r="H5" s="53" t="s">
        <v>10</v>
      </c>
      <c r="I5" s="51" t="s">
        <v>1</v>
      </c>
      <c r="J5" s="51" t="s">
        <v>2</v>
      </c>
      <c r="K5" s="51" t="s">
        <v>3</v>
      </c>
      <c r="L5" s="51" t="s">
        <v>2</v>
      </c>
      <c r="M5" s="52" t="s">
        <v>4</v>
      </c>
      <c r="N5" s="52" t="s">
        <v>2</v>
      </c>
    </row>
    <row r="6" spans="1:14" s="4" customFormat="1" ht="12" customHeight="1" x14ac:dyDescent="0.2">
      <c r="A6" s="9" t="s">
        <v>5</v>
      </c>
      <c r="B6" s="75">
        <v>42286274943</v>
      </c>
      <c r="C6" s="76">
        <v>100.41</v>
      </c>
      <c r="D6" s="75">
        <v>46576965258</v>
      </c>
      <c r="E6" s="76">
        <v>116.63</v>
      </c>
      <c r="F6" s="75">
        <v>88863240201</v>
      </c>
      <c r="G6" s="10">
        <v>108.31</v>
      </c>
      <c r="H6" s="11" t="s">
        <v>8</v>
      </c>
      <c r="I6" s="75">
        <v>35761546186</v>
      </c>
      <c r="J6" s="79">
        <v>88.49</v>
      </c>
      <c r="K6" s="75">
        <v>50044684612</v>
      </c>
      <c r="L6" s="18">
        <v>94.29</v>
      </c>
      <c r="M6" s="69">
        <v>85806230798</v>
      </c>
      <c r="N6" s="12">
        <v>91.78</v>
      </c>
    </row>
    <row r="7" spans="1:14" s="4" customFormat="1" ht="12" customHeight="1" x14ac:dyDescent="0.2">
      <c r="A7" s="13"/>
      <c r="B7" s="54"/>
      <c r="C7" s="40"/>
      <c r="D7" s="54"/>
      <c r="E7" s="40"/>
      <c r="F7" s="54"/>
      <c r="G7" s="15"/>
      <c r="H7" s="16"/>
      <c r="I7" s="41"/>
      <c r="J7" s="80"/>
      <c r="K7" s="41"/>
      <c r="L7" s="19"/>
      <c r="M7" s="72"/>
      <c r="N7" s="20"/>
    </row>
    <row r="8" spans="1:14" ht="12" customHeight="1" x14ac:dyDescent="0.2">
      <c r="A8" s="17" t="s">
        <v>21</v>
      </c>
      <c r="B8" s="70">
        <v>37556165013</v>
      </c>
      <c r="C8" s="38">
        <v>89.18</v>
      </c>
      <c r="D8" s="70">
        <v>27297565442</v>
      </c>
      <c r="E8" s="78">
        <v>68.36</v>
      </c>
      <c r="F8" s="77">
        <v>64853730455</v>
      </c>
      <c r="G8" s="10">
        <v>79.05</v>
      </c>
      <c r="H8" s="11" t="s">
        <v>22</v>
      </c>
      <c r="I8" s="70">
        <v>22230571354</v>
      </c>
      <c r="J8" s="45">
        <v>55.01</v>
      </c>
      <c r="K8" s="70">
        <v>28112728652</v>
      </c>
      <c r="L8" s="18">
        <v>52.97</v>
      </c>
      <c r="M8" s="73">
        <v>50343300006</v>
      </c>
      <c r="N8" s="12">
        <v>53.85</v>
      </c>
    </row>
    <row r="9" spans="1:14" ht="12" customHeight="1" x14ac:dyDescent="0.2">
      <c r="A9" s="21" t="s">
        <v>23</v>
      </c>
      <c r="B9" s="54">
        <v>36861558394</v>
      </c>
      <c r="C9" s="39">
        <v>87.53</v>
      </c>
      <c r="D9" s="54">
        <v>26683181932</v>
      </c>
      <c r="E9" s="40">
        <v>66.819999999999993</v>
      </c>
      <c r="F9" s="54">
        <v>63544740326</v>
      </c>
      <c r="G9" s="15">
        <v>77.45</v>
      </c>
      <c r="H9" s="22" t="s">
        <v>24</v>
      </c>
      <c r="I9" s="54">
        <v>16088214948</v>
      </c>
      <c r="J9" s="43">
        <v>39.81</v>
      </c>
      <c r="K9" s="54">
        <v>25225314821</v>
      </c>
      <c r="L9" s="19">
        <v>47.53</v>
      </c>
      <c r="M9" s="66">
        <v>41313529769</v>
      </c>
      <c r="N9" s="20">
        <v>44.19</v>
      </c>
    </row>
    <row r="10" spans="1:14" ht="12" customHeight="1" x14ac:dyDescent="0.2">
      <c r="A10" s="94" t="s">
        <v>25</v>
      </c>
      <c r="B10" s="54">
        <v>29138453370</v>
      </c>
      <c r="C10" s="39">
        <v>69.19</v>
      </c>
      <c r="D10" s="54">
        <v>20048220969</v>
      </c>
      <c r="E10" s="40">
        <v>50.2</v>
      </c>
      <c r="F10" s="54">
        <v>49186674339</v>
      </c>
      <c r="G10" s="15">
        <v>59.95</v>
      </c>
      <c r="H10" s="23" t="s">
        <v>26</v>
      </c>
      <c r="I10" s="54">
        <v>14116190173</v>
      </c>
      <c r="J10" s="43">
        <v>34.93</v>
      </c>
      <c r="K10" s="54">
        <v>9600333503</v>
      </c>
      <c r="L10" s="43">
        <v>18.09</v>
      </c>
      <c r="M10" s="54">
        <v>23716523676</v>
      </c>
      <c r="N10" s="44">
        <v>25.37</v>
      </c>
    </row>
    <row r="11" spans="1:14" ht="12" customHeight="1" x14ac:dyDescent="0.2">
      <c r="A11" s="94" t="s">
        <v>27</v>
      </c>
      <c r="B11" s="54">
        <v>2155605204</v>
      </c>
      <c r="C11" s="39">
        <v>5.12</v>
      </c>
      <c r="D11" s="54">
        <v>3233407807</v>
      </c>
      <c r="E11" s="40">
        <v>8.1</v>
      </c>
      <c r="F11" s="54">
        <v>5389013011</v>
      </c>
      <c r="G11" s="15">
        <v>6.57</v>
      </c>
      <c r="H11" s="23" t="s">
        <v>28</v>
      </c>
      <c r="I11" s="54">
        <v>1972024775</v>
      </c>
      <c r="J11" s="43">
        <v>4.88</v>
      </c>
      <c r="K11" s="54">
        <v>15624981318</v>
      </c>
      <c r="L11" s="43">
        <v>29.44</v>
      </c>
      <c r="M11" s="54">
        <v>17597006093</v>
      </c>
      <c r="N11" s="44">
        <v>18.82</v>
      </c>
    </row>
    <row r="12" spans="1:14" ht="12" customHeight="1" x14ac:dyDescent="0.2">
      <c r="A12" s="94" t="s">
        <v>29</v>
      </c>
      <c r="B12" s="54">
        <v>647075615</v>
      </c>
      <c r="C12" s="39">
        <v>1.54</v>
      </c>
      <c r="D12" s="54">
        <v>161768904</v>
      </c>
      <c r="E12" s="40">
        <v>0.41</v>
      </c>
      <c r="F12" s="54">
        <v>808844519</v>
      </c>
      <c r="G12" s="15">
        <v>0.99</v>
      </c>
      <c r="H12" s="24" t="s">
        <v>30</v>
      </c>
      <c r="I12" s="54">
        <v>1552174156</v>
      </c>
      <c r="J12" s="43">
        <v>3.84</v>
      </c>
      <c r="K12" s="54">
        <v>1759181459</v>
      </c>
      <c r="L12" s="43">
        <v>3.31</v>
      </c>
      <c r="M12" s="54">
        <v>3311355615</v>
      </c>
      <c r="N12" s="44">
        <v>3.54</v>
      </c>
    </row>
    <row r="13" spans="1:14" ht="12" customHeight="1" x14ac:dyDescent="0.2">
      <c r="A13" s="94" t="s">
        <v>31</v>
      </c>
      <c r="B13" s="54">
        <v>4919728143</v>
      </c>
      <c r="C13" s="39">
        <v>11.68</v>
      </c>
      <c r="D13" s="54">
        <v>0</v>
      </c>
      <c r="E13" s="40">
        <v>0</v>
      </c>
      <c r="F13" s="54">
        <v>4919728143</v>
      </c>
      <c r="G13" s="15">
        <v>6</v>
      </c>
      <c r="H13" s="24" t="s">
        <v>32</v>
      </c>
      <c r="I13" s="54">
        <v>122990900</v>
      </c>
      <c r="J13" s="43">
        <v>0.3</v>
      </c>
      <c r="K13" s="54">
        <v>244853665</v>
      </c>
      <c r="L13" s="43">
        <v>0.46</v>
      </c>
      <c r="M13" s="54">
        <v>367844565</v>
      </c>
      <c r="N13" s="44">
        <v>0.39</v>
      </c>
    </row>
    <row r="14" spans="1:14" ht="12" customHeight="1" x14ac:dyDescent="0.2">
      <c r="A14" s="94" t="s">
        <v>33</v>
      </c>
      <c r="B14" s="54">
        <v>696062</v>
      </c>
      <c r="C14" s="40">
        <v>0</v>
      </c>
      <c r="D14" s="54">
        <v>3239784252</v>
      </c>
      <c r="E14" s="92">
        <v>8.11</v>
      </c>
      <c r="F14" s="93">
        <v>3240480314</v>
      </c>
      <c r="G14" s="15">
        <v>3.95</v>
      </c>
      <c r="H14" s="24" t="s">
        <v>34</v>
      </c>
      <c r="I14" s="54">
        <v>296859719</v>
      </c>
      <c r="J14" s="43">
        <v>0.73</v>
      </c>
      <c r="K14" s="54">
        <v>13620946194</v>
      </c>
      <c r="L14" s="43">
        <v>25.66</v>
      </c>
      <c r="M14" s="54">
        <v>13917805913</v>
      </c>
      <c r="N14" s="44">
        <v>14.89</v>
      </c>
    </row>
    <row r="15" spans="1:14" ht="12" customHeight="1" x14ac:dyDescent="0.2">
      <c r="A15" s="21" t="s">
        <v>35</v>
      </c>
      <c r="B15" s="54">
        <v>694606619</v>
      </c>
      <c r="C15" s="39">
        <v>1.65</v>
      </c>
      <c r="D15" s="54">
        <v>614383510</v>
      </c>
      <c r="E15" s="40">
        <v>1.54</v>
      </c>
      <c r="F15" s="54">
        <v>1308990129</v>
      </c>
      <c r="G15" s="15">
        <v>1.6</v>
      </c>
      <c r="H15" s="22" t="s">
        <v>36</v>
      </c>
      <c r="I15" s="54">
        <v>6142356406</v>
      </c>
      <c r="J15" s="43">
        <v>15.2</v>
      </c>
      <c r="K15" s="54">
        <v>2887413831</v>
      </c>
      <c r="L15" s="43">
        <v>5.44</v>
      </c>
      <c r="M15" s="54">
        <v>9029770237</v>
      </c>
      <c r="N15" s="44">
        <v>9.66</v>
      </c>
    </row>
    <row r="16" spans="1:14" ht="12" customHeight="1" x14ac:dyDescent="0.2">
      <c r="A16" s="94" t="s">
        <v>25</v>
      </c>
      <c r="B16" s="54">
        <v>492263087</v>
      </c>
      <c r="C16" s="40">
        <v>1.17</v>
      </c>
      <c r="D16" s="54">
        <v>291003936</v>
      </c>
      <c r="E16" s="40">
        <v>0.73</v>
      </c>
      <c r="F16" s="54">
        <v>783267023</v>
      </c>
      <c r="G16" s="15">
        <v>0.95</v>
      </c>
      <c r="H16" s="23" t="s">
        <v>26</v>
      </c>
      <c r="I16" s="54">
        <v>6142356406</v>
      </c>
      <c r="J16" s="43">
        <v>15.2</v>
      </c>
      <c r="K16" s="54">
        <v>2886172831</v>
      </c>
      <c r="L16" s="43">
        <v>5.44</v>
      </c>
      <c r="M16" s="54">
        <v>9028529237</v>
      </c>
      <c r="N16" s="44">
        <v>9.66</v>
      </c>
    </row>
    <row r="17" spans="1:14" ht="12" customHeight="1" x14ac:dyDescent="0.2">
      <c r="A17" s="94" t="s">
        <v>27</v>
      </c>
      <c r="B17" s="54">
        <v>167713178</v>
      </c>
      <c r="C17" s="39">
        <v>0.4</v>
      </c>
      <c r="D17" s="54">
        <v>251569768</v>
      </c>
      <c r="E17" s="40">
        <v>0.63</v>
      </c>
      <c r="F17" s="54">
        <v>419282946</v>
      </c>
      <c r="G17" s="15">
        <v>0.51</v>
      </c>
      <c r="H17" s="23" t="s">
        <v>28</v>
      </c>
      <c r="I17" s="54">
        <v>0</v>
      </c>
      <c r="J17" s="43">
        <v>0</v>
      </c>
      <c r="K17" s="54">
        <v>1241000</v>
      </c>
      <c r="L17" s="43">
        <v>0</v>
      </c>
      <c r="M17" s="54">
        <v>1241000</v>
      </c>
      <c r="N17" s="44">
        <v>0</v>
      </c>
    </row>
    <row r="18" spans="1:14" ht="12" customHeight="1" x14ac:dyDescent="0.2">
      <c r="A18" s="94" t="s">
        <v>29</v>
      </c>
      <c r="B18" s="54">
        <v>34456005</v>
      </c>
      <c r="C18" s="39">
        <v>0.08</v>
      </c>
      <c r="D18" s="54">
        <v>8614001</v>
      </c>
      <c r="E18" s="40">
        <v>0.02</v>
      </c>
      <c r="F18" s="54">
        <v>43070006</v>
      </c>
      <c r="G18" s="15">
        <v>0.05</v>
      </c>
      <c r="H18" s="24" t="s">
        <v>30</v>
      </c>
      <c r="I18" s="54">
        <v>0</v>
      </c>
      <c r="J18" s="43">
        <v>0</v>
      </c>
      <c r="K18" s="54">
        <v>1241000</v>
      </c>
      <c r="L18" s="43">
        <v>0</v>
      </c>
      <c r="M18" s="54">
        <v>1241000</v>
      </c>
      <c r="N18" s="44">
        <v>0</v>
      </c>
    </row>
    <row r="19" spans="1:14" ht="12" customHeight="1" x14ac:dyDescent="0.2">
      <c r="A19" s="94" t="s">
        <v>33</v>
      </c>
      <c r="B19" s="54">
        <v>174349</v>
      </c>
      <c r="C19" s="39">
        <v>0</v>
      </c>
      <c r="D19" s="54">
        <v>63195805</v>
      </c>
      <c r="E19" s="40">
        <v>0.16</v>
      </c>
      <c r="F19" s="54">
        <v>63370154</v>
      </c>
      <c r="G19" s="15">
        <v>0.08</v>
      </c>
      <c r="H19" s="11" t="s">
        <v>37</v>
      </c>
      <c r="I19" s="70">
        <v>4537606674</v>
      </c>
      <c r="J19" s="45">
        <v>11.23</v>
      </c>
      <c r="K19" s="70">
        <v>75803197</v>
      </c>
      <c r="L19" s="45">
        <v>0.14000000000000001</v>
      </c>
      <c r="M19" s="70">
        <v>4613409871</v>
      </c>
      <c r="N19" s="46">
        <v>4.93</v>
      </c>
    </row>
    <row r="20" spans="1:14" ht="12" customHeight="1" x14ac:dyDescent="0.2">
      <c r="A20" s="17" t="s">
        <v>38</v>
      </c>
      <c r="B20" s="70">
        <v>0</v>
      </c>
      <c r="C20" s="38">
        <v>0</v>
      </c>
      <c r="D20" s="70">
        <v>3767615873</v>
      </c>
      <c r="E20" s="38">
        <v>9.43</v>
      </c>
      <c r="F20" s="70">
        <v>3767615873</v>
      </c>
      <c r="G20" s="10">
        <v>4.59</v>
      </c>
      <c r="H20" s="22" t="s">
        <v>24</v>
      </c>
      <c r="I20" s="54">
        <v>4537606674</v>
      </c>
      <c r="J20" s="43">
        <v>11.23</v>
      </c>
      <c r="K20" s="54">
        <v>75803197</v>
      </c>
      <c r="L20" s="43">
        <v>0.14000000000000001</v>
      </c>
      <c r="M20" s="54">
        <v>4613409871</v>
      </c>
      <c r="N20" s="44">
        <v>4.93</v>
      </c>
    </row>
    <row r="21" spans="1:14" ht="12" customHeight="1" x14ac:dyDescent="0.2">
      <c r="A21" s="17" t="s">
        <v>39</v>
      </c>
      <c r="B21" s="70">
        <v>4144696596</v>
      </c>
      <c r="C21" s="38">
        <v>9.84</v>
      </c>
      <c r="D21" s="70">
        <v>3354070987</v>
      </c>
      <c r="E21" s="38">
        <v>8.4</v>
      </c>
      <c r="F21" s="70">
        <v>7498767583</v>
      </c>
      <c r="G21" s="10">
        <v>9.14</v>
      </c>
      <c r="H21" s="23" t="s">
        <v>26</v>
      </c>
      <c r="I21" s="54">
        <v>4537606674</v>
      </c>
      <c r="J21" s="43">
        <v>11.23</v>
      </c>
      <c r="K21" s="54">
        <v>75803197</v>
      </c>
      <c r="L21" s="43">
        <v>0.14000000000000001</v>
      </c>
      <c r="M21" s="54">
        <v>4613409871</v>
      </c>
      <c r="N21" s="44">
        <v>4.93</v>
      </c>
    </row>
    <row r="22" spans="1:14" ht="12" customHeight="1" x14ac:dyDescent="0.2">
      <c r="A22" s="21" t="s">
        <v>40</v>
      </c>
      <c r="B22" s="54">
        <v>3340859301</v>
      </c>
      <c r="C22" s="39">
        <v>7.93</v>
      </c>
      <c r="D22" s="54">
        <v>835214906</v>
      </c>
      <c r="E22" s="40">
        <v>2.09</v>
      </c>
      <c r="F22" s="54">
        <v>4176074207</v>
      </c>
      <c r="G22" s="15">
        <v>5.09</v>
      </c>
      <c r="H22" s="11" t="s">
        <v>41</v>
      </c>
      <c r="I22" s="70">
        <v>8993368158</v>
      </c>
      <c r="J22" s="45">
        <v>22.25</v>
      </c>
      <c r="K22" s="70">
        <v>6405659318</v>
      </c>
      <c r="L22" s="45">
        <v>12.07</v>
      </c>
      <c r="M22" s="70">
        <v>15399027476</v>
      </c>
      <c r="N22" s="46">
        <v>16.47</v>
      </c>
    </row>
    <row r="23" spans="1:14" ht="12" customHeight="1" x14ac:dyDescent="0.2">
      <c r="A23" s="21" t="s">
        <v>42</v>
      </c>
      <c r="B23" s="54">
        <v>450041499</v>
      </c>
      <c r="C23" s="39">
        <v>1.07</v>
      </c>
      <c r="D23" s="54">
        <v>300027666</v>
      </c>
      <c r="E23" s="40">
        <v>0.75</v>
      </c>
      <c r="F23" s="54">
        <v>750069165</v>
      </c>
      <c r="G23" s="15">
        <v>0.91</v>
      </c>
      <c r="H23" s="22" t="s">
        <v>24</v>
      </c>
      <c r="I23" s="54">
        <v>8040212005</v>
      </c>
      <c r="J23" s="43">
        <v>19.899999999999999</v>
      </c>
      <c r="K23" s="54">
        <v>5000785018</v>
      </c>
      <c r="L23" s="43">
        <v>9.42</v>
      </c>
      <c r="M23" s="54">
        <v>13040997023</v>
      </c>
      <c r="N23" s="44">
        <v>13.95</v>
      </c>
    </row>
    <row r="24" spans="1:14" ht="12" customHeight="1" x14ac:dyDescent="0.2">
      <c r="A24" s="21" t="s">
        <v>43</v>
      </c>
      <c r="B24" s="54">
        <v>0</v>
      </c>
      <c r="C24" s="39">
        <v>0</v>
      </c>
      <c r="D24" s="54">
        <v>550000000</v>
      </c>
      <c r="E24" s="40">
        <v>1.38</v>
      </c>
      <c r="F24" s="54">
        <v>550000000</v>
      </c>
      <c r="G24" s="15">
        <v>0.67</v>
      </c>
      <c r="H24" s="23" t="s">
        <v>26</v>
      </c>
      <c r="I24" s="54">
        <v>3411117709</v>
      </c>
      <c r="J24" s="43">
        <v>8.44</v>
      </c>
      <c r="K24" s="54">
        <v>1489854373</v>
      </c>
      <c r="L24" s="43">
        <v>2.81</v>
      </c>
      <c r="M24" s="54">
        <v>4900972082</v>
      </c>
      <c r="N24" s="44">
        <v>5.24</v>
      </c>
    </row>
    <row r="25" spans="1:14" ht="12" customHeight="1" x14ac:dyDescent="0.2">
      <c r="A25" s="21" t="s">
        <v>44</v>
      </c>
      <c r="B25" s="54">
        <v>147881445</v>
      </c>
      <c r="C25" s="39">
        <v>0.35</v>
      </c>
      <c r="D25" s="54">
        <v>36970361</v>
      </c>
      <c r="E25" s="40">
        <v>0.09</v>
      </c>
      <c r="F25" s="54">
        <v>184851806</v>
      </c>
      <c r="G25" s="15">
        <v>0.23</v>
      </c>
      <c r="H25" s="23" t="s">
        <v>28</v>
      </c>
      <c r="I25" s="54">
        <v>4629094296</v>
      </c>
      <c r="J25" s="43">
        <v>11.45</v>
      </c>
      <c r="K25" s="54">
        <v>3510930645</v>
      </c>
      <c r="L25" s="43">
        <v>6.61</v>
      </c>
      <c r="M25" s="54">
        <v>8140024941</v>
      </c>
      <c r="N25" s="44">
        <v>8.7100000000000009</v>
      </c>
    </row>
    <row r="26" spans="1:14" ht="12" customHeight="1" x14ac:dyDescent="0.2">
      <c r="A26" s="21" t="s">
        <v>45</v>
      </c>
      <c r="B26" s="54">
        <v>0</v>
      </c>
      <c r="C26" s="39">
        <v>0</v>
      </c>
      <c r="D26" s="54">
        <v>3579600</v>
      </c>
      <c r="E26" s="40">
        <v>0.01</v>
      </c>
      <c r="F26" s="54">
        <v>3579600</v>
      </c>
      <c r="G26" s="15">
        <v>0</v>
      </c>
      <c r="H26" s="24" t="s">
        <v>30</v>
      </c>
      <c r="I26" s="54">
        <v>1488695119</v>
      </c>
      <c r="J26" s="43">
        <v>3.68</v>
      </c>
      <c r="K26" s="54">
        <v>2327971316</v>
      </c>
      <c r="L26" s="43">
        <v>4.3899999999999997</v>
      </c>
      <c r="M26" s="54">
        <v>3816666435</v>
      </c>
      <c r="N26" s="44">
        <v>4.08</v>
      </c>
    </row>
    <row r="27" spans="1:14" ht="12" customHeight="1" x14ac:dyDescent="0.2">
      <c r="A27" s="21" t="s">
        <v>46</v>
      </c>
      <c r="B27" s="54">
        <v>0</v>
      </c>
      <c r="C27" s="40">
        <v>0</v>
      </c>
      <c r="D27" s="54">
        <v>152384172</v>
      </c>
      <c r="E27" s="40">
        <v>0.38</v>
      </c>
      <c r="F27" s="54">
        <v>152384172</v>
      </c>
      <c r="G27" s="15">
        <v>0.19</v>
      </c>
      <c r="H27" s="24" t="s">
        <v>32</v>
      </c>
      <c r="I27" s="54">
        <v>2448405</v>
      </c>
      <c r="J27" s="43">
        <v>0.01</v>
      </c>
      <c r="K27" s="54">
        <v>41991103</v>
      </c>
      <c r="L27" s="43">
        <v>0.08</v>
      </c>
      <c r="M27" s="54">
        <v>44439508</v>
      </c>
      <c r="N27" s="44">
        <v>0.05</v>
      </c>
    </row>
    <row r="28" spans="1:14" ht="12" customHeight="1" x14ac:dyDescent="0.2">
      <c r="A28" s="21" t="s">
        <v>47</v>
      </c>
      <c r="B28" s="54">
        <v>0</v>
      </c>
      <c r="C28" s="40">
        <v>0</v>
      </c>
      <c r="D28" s="54">
        <v>101135176</v>
      </c>
      <c r="E28" s="40">
        <v>0.25</v>
      </c>
      <c r="F28" s="54">
        <v>101135176</v>
      </c>
      <c r="G28" s="15">
        <v>0.12</v>
      </c>
      <c r="H28" s="24" t="s">
        <v>34</v>
      </c>
      <c r="I28" s="54">
        <v>3137950772</v>
      </c>
      <c r="J28" s="43">
        <v>7.77</v>
      </c>
      <c r="K28" s="54">
        <v>1140968226</v>
      </c>
      <c r="L28" s="43">
        <v>2.15</v>
      </c>
      <c r="M28" s="54">
        <v>4278918998</v>
      </c>
      <c r="N28" s="44">
        <v>4.58</v>
      </c>
    </row>
    <row r="29" spans="1:14" ht="12" customHeight="1" x14ac:dyDescent="0.2">
      <c r="A29" s="21" t="s">
        <v>48</v>
      </c>
      <c r="B29" s="54">
        <v>0</v>
      </c>
      <c r="C29" s="40">
        <v>0</v>
      </c>
      <c r="D29" s="54">
        <v>252677325</v>
      </c>
      <c r="E29" s="40">
        <v>0.63</v>
      </c>
      <c r="F29" s="54">
        <v>252677325</v>
      </c>
      <c r="G29" s="15">
        <v>0.31</v>
      </c>
      <c r="H29" s="22" t="s">
        <v>36</v>
      </c>
      <c r="I29" s="54">
        <v>953156153</v>
      </c>
      <c r="J29" s="43">
        <v>2.36</v>
      </c>
      <c r="K29" s="54">
        <v>1404874300</v>
      </c>
      <c r="L29" s="43">
        <v>2.65</v>
      </c>
      <c r="M29" s="54">
        <v>2358030453</v>
      </c>
      <c r="N29" s="44">
        <v>2.52</v>
      </c>
    </row>
    <row r="30" spans="1:14" ht="12" customHeight="1" x14ac:dyDescent="0.2">
      <c r="A30" s="21" t="s">
        <v>49</v>
      </c>
      <c r="B30" s="54">
        <v>0</v>
      </c>
      <c r="C30" s="40">
        <v>0</v>
      </c>
      <c r="D30" s="54">
        <v>16346194</v>
      </c>
      <c r="E30" s="40">
        <v>0.04</v>
      </c>
      <c r="F30" s="54">
        <v>16346194</v>
      </c>
      <c r="G30" s="15">
        <v>0.02</v>
      </c>
      <c r="H30" s="23" t="s">
        <v>26</v>
      </c>
      <c r="I30" s="54">
        <v>953156153</v>
      </c>
      <c r="J30" s="43">
        <v>2.36</v>
      </c>
      <c r="K30" s="54">
        <v>8641195</v>
      </c>
      <c r="L30" s="43">
        <v>0.02</v>
      </c>
      <c r="M30" s="54">
        <v>961797348</v>
      </c>
      <c r="N30" s="44">
        <v>1.03</v>
      </c>
    </row>
    <row r="31" spans="1:14" ht="12" customHeight="1" x14ac:dyDescent="0.2">
      <c r="A31" s="21" t="s">
        <v>50</v>
      </c>
      <c r="B31" s="54">
        <v>205914351</v>
      </c>
      <c r="C31" s="39">
        <v>0.49</v>
      </c>
      <c r="D31" s="54">
        <v>1105735587</v>
      </c>
      <c r="E31" s="40">
        <v>2.77</v>
      </c>
      <c r="F31" s="54">
        <v>1311649938</v>
      </c>
      <c r="G31" s="15">
        <v>1.6</v>
      </c>
      <c r="H31" s="23" t="s">
        <v>28</v>
      </c>
      <c r="I31" s="54">
        <v>0</v>
      </c>
      <c r="J31" s="43">
        <v>0</v>
      </c>
      <c r="K31" s="54">
        <v>1396233105</v>
      </c>
      <c r="L31" s="43">
        <v>2.63</v>
      </c>
      <c r="M31" s="54">
        <v>1396233105</v>
      </c>
      <c r="N31" s="44">
        <v>1.49</v>
      </c>
    </row>
    <row r="32" spans="1:14" ht="12" customHeight="1" x14ac:dyDescent="0.2">
      <c r="A32" s="17" t="s">
        <v>51</v>
      </c>
      <c r="B32" s="70">
        <v>0</v>
      </c>
      <c r="C32" s="38">
        <v>0</v>
      </c>
      <c r="D32" s="70">
        <v>7900284775</v>
      </c>
      <c r="E32" s="38">
        <v>19.78</v>
      </c>
      <c r="F32" s="70">
        <v>7900284775</v>
      </c>
      <c r="G32" s="10">
        <v>9.6300000000000008</v>
      </c>
      <c r="H32" s="24" t="s">
        <v>30</v>
      </c>
      <c r="I32" s="54">
        <v>0</v>
      </c>
      <c r="J32" s="43">
        <v>0</v>
      </c>
      <c r="K32" s="54">
        <v>72122544</v>
      </c>
      <c r="L32" s="43">
        <v>0.14000000000000001</v>
      </c>
      <c r="M32" s="54">
        <v>72122544</v>
      </c>
      <c r="N32" s="44">
        <v>0.08</v>
      </c>
    </row>
    <row r="33" spans="1:14" ht="12" customHeight="1" x14ac:dyDescent="0.2">
      <c r="A33" s="17" t="s">
        <v>52</v>
      </c>
      <c r="B33" s="70">
        <v>0</v>
      </c>
      <c r="C33" s="38">
        <v>0</v>
      </c>
      <c r="D33" s="70">
        <v>13881410</v>
      </c>
      <c r="E33" s="38">
        <v>0.03</v>
      </c>
      <c r="F33" s="70">
        <v>13881410</v>
      </c>
      <c r="G33" s="10">
        <v>0.02</v>
      </c>
      <c r="H33" s="24" t="s">
        <v>34</v>
      </c>
      <c r="I33" s="54">
        <v>0</v>
      </c>
      <c r="J33" s="43">
        <v>0</v>
      </c>
      <c r="K33" s="54">
        <v>1324110561</v>
      </c>
      <c r="L33" s="43">
        <v>2.4900000000000002</v>
      </c>
      <c r="M33" s="54">
        <v>1324110561</v>
      </c>
      <c r="N33" s="44">
        <v>1.42</v>
      </c>
    </row>
    <row r="34" spans="1:14" ht="12" customHeight="1" x14ac:dyDescent="0.2">
      <c r="A34" s="17" t="s">
        <v>53</v>
      </c>
      <c r="B34" s="70">
        <v>0</v>
      </c>
      <c r="C34" s="38">
        <v>0</v>
      </c>
      <c r="D34" s="70">
        <v>151699612</v>
      </c>
      <c r="E34" s="38">
        <v>0.38</v>
      </c>
      <c r="F34" s="70">
        <v>151699612</v>
      </c>
      <c r="G34" s="10">
        <v>0.18</v>
      </c>
      <c r="H34" s="11" t="s">
        <v>54</v>
      </c>
      <c r="I34" s="70">
        <v>0</v>
      </c>
      <c r="J34" s="45">
        <v>0</v>
      </c>
      <c r="K34" s="70">
        <v>15450493445</v>
      </c>
      <c r="L34" s="45">
        <v>29.11</v>
      </c>
      <c r="M34" s="70">
        <v>15450493445</v>
      </c>
      <c r="N34" s="46">
        <v>16.53</v>
      </c>
    </row>
    <row r="35" spans="1:14" ht="12" customHeight="1" x14ac:dyDescent="0.2">
      <c r="A35" s="17" t="s">
        <v>55</v>
      </c>
      <c r="B35" s="70">
        <v>585413334</v>
      </c>
      <c r="C35" s="38">
        <v>1.39</v>
      </c>
      <c r="D35" s="70">
        <v>4091847159</v>
      </c>
      <c r="E35" s="38">
        <v>10.25</v>
      </c>
      <c r="F35" s="70">
        <v>4677260493</v>
      </c>
      <c r="G35" s="10">
        <v>5.7</v>
      </c>
      <c r="H35" s="25"/>
      <c r="I35" s="54"/>
      <c r="J35" s="43"/>
      <c r="K35" s="54"/>
      <c r="L35" s="19"/>
      <c r="M35" s="66"/>
      <c r="N35" s="12"/>
    </row>
    <row r="36" spans="1:14" s="5" customFormat="1" ht="12" customHeight="1" x14ac:dyDescent="0.2">
      <c r="A36" s="21" t="s">
        <v>56</v>
      </c>
      <c r="B36" s="54">
        <v>329372746</v>
      </c>
      <c r="C36" s="39">
        <v>0.78</v>
      </c>
      <c r="D36" s="54">
        <v>2451031266</v>
      </c>
      <c r="E36" s="40">
        <v>6.14</v>
      </c>
      <c r="F36" s="54">
        <v>2780404012</v>
      </c>
      <c r="G36" s="15">
        <v>3.39</v>
      </c>
      <c r="H36" s="11" t="s">
        <v>9</v>
      </c>
      <c r="I36" s="70">
        <v>4036707621</v>
      </c>
      <c r="J36" s="45">
        <v>9.99</v>
      </c>
      <c r="K36" s="70">
        <v>3032960938</v>
      </c>
      <c r="L36" s="18">
        <v>5.71</v>
      </c>
      <c r="M36" s="73">
        <v>7069668559</v>
      </c>
      <c r="N36" s="12">
        <v>7.56</v>
      </c>
    </row>
    <row r="37" spans="1:14" ht="12" customHeight="1" x14ac:dyDescent="0.2">
      <c r="A37" s="21" t="s">
        <v>57</v>
      </c>
      <c r="B37" s="54">
        <v>0</v>
      </c>
      <c r="C37" s="39">
        <v>0</v>
      </c>
      <c r="D37" s="54">
        <v>6956952</v>
      </c>
      <c r="E37" s="40">
        <v>0.02</v>
      </c>
      <c r="F37" s="54">
        <v>6956952</v>
      </c>
      <c r="G37" s="15">
        <v>0.01</v>
      </c>
      <c r="H37" s="11"/>
      <c r="I37" s="70"/>
      <c r="J37" s="45"/>
      <c r="K37" s="70"/>
      <c r="L37" s="18"/>
      <c r="M37" s="73"/>
      <c r="N37" s="12"/>
    </row>
    <row r="38" spans="1:14" ht="12" customHeight="1" x14ac:dyDescent="0.2">
      <c r="A38" s="21" t="s">
        <v>58</v>
      </c>
      <c r="B38" s="54">
        <v>55719778</v>
      </c>
      <c r="C38" s="39">
        <v>0.13</v>
      </c>
      <c r="D38" s="54">
        <v>499195470</v>
      </c>
      <c r="E38" s="40">
        <v>1.25</v>
      </c>
      <c r="F38" s="54">
        <v>554915248</v>
      </c>
      <c r="G38" s="15">
        <v>0.68</v>
      </c>
      <c r="H38" s="11" t="s">
        <v>59</v>
      </c>
      <c r="I38" s="70">
        <v>2045375851</v>
      </c>
      <c r="J38" s="45">
        <v>5.0599999999999996</v>
      </c>
      <c r="K38" s="70">
        <v>1365979730</v>
      </c>
      <c r="L38" s="18">
        <v>2.57</v>
      </c>
      <c r="M38" s="73">
        <v>3411355581</v>
      </c>
      <c r="N38" s="12">
        <v>3.65</v>
      </c>
    </row>
    <row r="39" spans="1:14" ht="12" customHeight="1" x14ac:dyDescent="0.2">
      <c r="A39" s="21" t="s">
        <v>60</v>
      </c>
      <c r="B39" s="54">
        <v>1967375</v>
      </c>
      <c r="C39" s="39">
        <v>0</v>
      </c>
      <c r="D39" s="54">
        <v>637702338</v>
      </c>
      <c r="E39" s="40">
        <v>1.6</v>
      </c>
      <c r="F39" s="54">
        <v>639669713</v>
      </c>
      <c r="G39" s="15">
        <v>0.78</v>
      </c>
      <c r="H39" s="22" t="s">
        <v>24</v>
      </c>
      <c r="I39" s="54">
        <v>1964880513</v>
      </c>
      <c r="J39" s="43">
        <v>4.8600000000000003</v>
      </c>
      <c r="K39" s="54">
        <v>735750760</v>
      </c>
      <c r="L39" s="19">
        <v>1.39</v>
      </c>
      <c r="M39" s="66">
        <v>2700631273</v>
      </c>
      <c r="N39" s="20">
        <v>2.89</v>
      </c>
    </row>
    <row r="40" spans="1:14" ht="12" customHeight="1" x14ac:dyDescent="0.2">
      <c r="A40" s="21" t="s">
        <v>61</v>
      </c>
      <c r="B40" s="54">
        <v>198353435</v>
      </c>
      <c r="C40" s="40">
        <v>0.47</v>
      </c>
      <c r="D40" s="54">
        <v>496961133</v>
      </c>
      <c r="E40" s="40">
        <v>1.24</v>
      </c>
      <c r="F40" s="54">
        <v>695314568</v>
      </c>
      <c r="G40" s="15">
        <v>0.85</v>
      </c>
      <c r="H40" s="23" t="s">
        <v>26</v>
      </c>
      <c r="I40" s="54">
        <v>1075867254</v>
      </c>
      <c r="J40" s="43">
        <v>2.66</v>
      </c>
      <c r="K40" s="54">
        <v>249565555</v>
      </c>
      <c r="L40" s="19">
        <v>0.47</v>
      </c>
      <c r="M40" s="66">
        <v>1325432809</v>
      </c>
      <c r="N40" s="20">
        <v>1.42</v>
      </c>
    </row>
    <row r="41" spans="1:14" s="4" customFormat="1" ht="12" customHeight="1" x14ac:dyDescent="0.2">
      <c r="A41" s="9"/>
      <c r="B41" s="54"/>
      <c r="C41" s="39"/>
      <c r="D41" s="54"/>
      <c r="E41" s="40"/>
      <c r="F41" s="54"/>
      <c r="G41" s="15"/>
      <c r="H41" s="23" t="s">
        <v>28</v>
      </c>
      <c r="I41" s="54">
        <v>889013259</v>
      </c>
      <c r="J41" s="43">
        <v>2.2000000000000002</v>
      </c>
      <c r="K41" s="54">
        <v>486185205</v>
      </c>
      <c r="L41" s="19">
        <v>0.92</v>
      </c>
      <c r="M41" s="66">
        <v>1375198464</v>
      </c>
      <c r="N41" s="20">
        <v>1.47</v>
      </c>
    </row>
    <row r="42" spans="1:14" s="4" customFormat="1" ht="12" customHeight="1" x14ac:dyDescent="0.2">
      <c r="A42" s="9" t="s">
        <v>6</v>
      </c>
      <c r="B42" s="70">
        <v>200000</v>
      </c>
      <c r="C42" s="38">
        <v>0</v>
      </c>
      <c r="D42" s="70">
        <v>2485589414</v>
      </c>
      <c r="E42" s="38">
        <v>6.22</v>
      </c>
      <c r="F42" s="70">
        <v>2485789414</v>
      </c>
      <c r="G42" s="10">
        <v>3.03</v>
      </c>
      <c r="H42" s="24" t="s">
        <v>30</v>
      </c>
      <c r="I42" s="54">
        <v>447420860</v>
      </c>
      <c r="J42" s="43">
        <v>1.1100000000000001</v>
      </c>
      <c r="K42" s="54">
        <v>405386159</v>
      </c>
      <c r="L42" s="19">
        <v>0.76</v>
      </c>
      <c r="M42" s="66">
        <v>852807019</v>
      </c>
      <c r="N42" s="20">
        <v>0.91</v>
      </c>
    </row>
    <row r="43" spans="1:14" ht="12" customHeight="1" x14ac:dyDescent="0.2">
      <c r="A43" s="17" t="s">
        <v>62</v>
      </c>
      <c r="B43" s="70">
        <v>0</v>
      </c>
      <c r="C43" s="38">
        <v>0</v>
      </c>
      <c r="D43" s="70">
        <v>653770052</v>
      </c>
      <c r="E43" s="38">
        <v>1.64</v>
      </c>
      <c r="F43" s="70">
        <v>653770052</v>
      </c>
      <c r="G43" s="10">
        <v>0.8</v>
      </c>
      <c r="H43" s="24" t="s">
        <v>32</v>
      </c>
      <c r="I43" s="54">
        <v>955724</v>
      </c>
      <c r="J43" s="43">
        <v>0</v>
      </c>
      <c r="K43" s="54">
        <v>0</v>
      </c>
      <c r="L43" s="19">
        <v>0</v>
      </c>
      <c r="M43" s="66">
        <v>955724</v>
      </c>
      <c r="N43" s="20">
        <v>0</v>
      </c>
    </row>
    <row r="44" spans="1:14" ht="12" customHeight="1" x14ac:dyDescent="0.2">
      <c r="A44" s="21" t="s">
        <v>63</v>
      </c>
      <c r="B44" s="68">
        <v>0</v>
      </c>
      <c r="C44" s="39">
        <v>0</v>
      </c>
      <c r="D44" s="68">
        <v>653770052</v>
      </c>
      <c r="E44" s="40">
        <v>1.64</v>
      </c>
      <c r="F44" s="54">
        <v>653770052</v>
      </c>
      <c r="G44" s="15">
        <v>0.8</v>
      </c>
      <c r="H44" s="24" t="s">
        <v>34</v>
      </c>
      <c r="I44" s="54">
        <v>440636675</v>
      </c>
      <c r="J44" s="43">
        <v>1.0900000000000001</v>
      </c>
      <c r="K44" s="54">
        <v>80799046</v>
      </c>
      <c r="L44" s="19">
        <v>0.15</v>
      </c>
      <c r="M44" s="66">
        <v>521435721</v>
      </c>
      <c r="N44" s="20">
        <v>0.56000000000000005</v>
      </c>
    </row>
    <row r="45" spans="1:14" ht="12" customHeight="1" x14ac:dyDescent="0.2">
      <c r="A45" s="21" t="s">
        <v>64</v>
      </c>
      <c r="B45" s="70">
        <v>0</v>
      </c>
      <c r="C45" s="40">
        <v>0</v>
      </c>
      <c r="D45" s="54">
        <v>0</v>
      </c>
      <c r="E45" s="40">
        <v>0</v>
      </c>
      <c r="F45" s="54">
        <v>0</v>
      </c>
      <c r="G45" s="15">
        <v>0</v>
      </c>
      <c r="H45" s="22" t="s">
        <v>36</v>
      </c>
      <c r="I45" s="54">
        <v>80495338</v>
      </c>
      <c r="J45" s="43">
        <v>0.2</v>
      </c>
      <c r="K45" s="54">
        <v>630228970</v>
      </c>
      <c r="L45" s="19">
        <v>1.19</v>
      </c>
      <c r="M45" s="66">
        <v>710724308</v>
      </c>
      <c r="N45" s="20">
        <v>0.76</v>
      </c>
    </row>
    <row r="46" spans="1:14" ht="12" customHeight="1" x14ac:dyDescent="0.2">
      <c r="A46" s="17" t="s">
        <v>65</v>
      </c>
      <c r="B46" s="70">
        <v>0</v>
      </c>
      <c r="C46" s="38">
        <v>0</v>
      </c>
      <c r="D46" s="70">
        <v>1539699469</v>
      </c>
      <c r="E46" s="38">
        <v>3.86</v>
      </c>
      <c r="F46" s="70">
        <v>1539699469</v>
      </c>
      <c r="G46" s="10">
        <v>1.88</v>
      </c>
      <c r="H46" s="23" t="s">
        <v>26</v>
      </c>
      <c r="I46" s="54">
        <v>80495338</v>
      </c>
      <c r="J46" s="43">
        <v>0.2</v>
      </c>
      <c r="K46" s="54">
        <v>13759000</v>
      </c>
      <c r="L46" s="19">
        <v>0.03</v>
      </c>
      <c r="M46" s="66">
        <v>94254338</v>
      </c>
      <c r="N46" s="20">
        <v>0.1</v>
      </c>
    </row>
    <row r="47" spans="1:14" ht="12" customHeight="1" x14ac:dyDescent="0.2">
      <c r="A47" s="17" t="s">
        <v>66</v>
      </c>
      <c r="B47" s="70">
        <v>200000</v>
      </c>
      <c r="C47" s="38">
        <v>0</v>
      </c>
      <c r="D47" s="70">
        <v>72513397</v>
      </c>
      <c r="E47" s="38">
        <v>0.18</v>
      </c>
      <c r="F47" s="70">
        <v>72713397</v>
      </c>
      <c r="G47" s="10">
        <v>0.09</v>
      </c>
      <c r="H47" s="23" t="s">
        <v>28</v>
      </c>
      <c r="I47" s="54">
        <v>0</v>
      </c>
      <c r="J47" s="43">
        <v>0</v>
      </c>
      <c r="K47" s="54">
        <v>616469970</v>
      </c>
      <c r="L47" s="19">
        <v>1.1599999999999999</v>
      </c>
      <c r="M47" s="66">
        <v>616469970</v>
      </c>
      <c r="N47" s="20">
        <v>0.66</v>
      </c>
    </row>
    <row r="48" spans="1:14" ht="12" customHeight="1" x14ac:dyDescent="0.2">
      <c r="A48" s="17" t="s">
        <v>53</v>
      </c>
      <c r="B48" s="70">
        <v>0</v>
      </c>
      <c r="C48" s="38">
        <v>0</v>
      </c>
      <c r="D48" s="70">
        <v>146609288</v>
      </c>
      <c r="E48" s="38">
        <v>0.37</v>
      </c>
      <c r="F48" s="70">
        <v>146609288</v>
      </c>
      <c r="G48" s="10">
        <v>0.18</v>
      </c>
      <c r="H48" s="24" t="s">
        <v>30</v>
      </c>
      <c r="I48" s="54">
        <v>0</v>
      </c>
      <c r="J48" s="43">
        <v>0</v>
      </c>
      <c r="K48" s="54">
        <v>61010956</v>
      </c>
      <c r="L48" s="19">
        <v>0.11</v>
      </c>
      <c r="M48" s="66">
        <v>61010956</v>
      </c>
      <c r="N48" s="20">
        <v>7.0000000000000007E-2</v>
      </c>
    </row>
    <row r="49" spans="1:14" ht="12" customHeight="1" x14ac:dyDescent="0.2">
      <c r="A49" s="17" t="s">
        <v>52</v>
      </c>
      <c r="B49" s="70">
        <v>0</v>
      </c>
      <c r="C49" s="38">
        <v>0</v>
      </c>
      <c r="D49" s="70">
        <v>9997208</v>
      </c>
      <c r="E49" s="38">
        <v>0.03</v>
      </c>
      <c r="F49" s="70">
        <v>9997208</v>
      </c>
      <c r="G49" s="10">
        <v>0.01</v>
      </c>
      <c r="H49" s="24" t="s">
        <v>34</v>
      </c>
      <c r="I49" s="54">
        <v>0</v>
      </c>
      <c r="J49" s="43">
        <v>0</v>
      </c>
      <c r="K49" s="54">
        <v>555459014</v>
      </c>
      <c r="L49" s="19">
        <v>1.05</v>
      </c>
      <c r="M49" s="66">
        <v>555459014</v>
      </c>
      <c r="N49" s="20">
        <v>0.59</v>
      </c>
    </row>
    <row r="50" spans="1:14" ht="12" customHeight="1" x14ac:dyDescent="0.2">
      <c r="A50" s="17" t="s">
        <v>68</v>
      </c>
      <c r="B50" s="70">
        <v>0</v>
      </c>
      <c r="C50" s="38">
        <v>0</v>
      </c>
      <c r="D50" s="70">
        <v>63000000</v>
      </c>
      <c r="E50" s="38">
        <v>0.16</v>
      </c>
      <c r="F50" s="70">
        <v>63000000</v>
      </c>
      <c r="G50" s="10">
        <v>0.08</v>
      </c>
      <c r="H50" s="11" t="s">
        <v>67</v>
      </c>
      <c r="I50" s="70">
        <v>161901240</v>
      </c>
      <c r="J50" s="45">
        <v>0.4</v>
      </c>
      <c r="K50" s="70">
        <v>166981208</v>
      </c>
      <c r="L50" s="18">
        <v>0.31</v>
      </c>
      <c r="M50" s="73">
        <v>328882448</v>
      </c>
      <c r="N50" s="12">
        <v>0.35</v>
      </c>
    </row>
    <row r="51" spans="1:14" ht="12" customHeight="1" x14ac:dyDescent="0.2">
      <c r="A51" s="26"/>
      <c r="B51" s="70"/>
      <c r="C51" s="38"/>
      <c r="D51" s="70"/>
      <c r="E51" s="38"/>
      <c r="F51" s="70"/>
      <c r="G51" s="10"/>
      <c r="H51" s="22" t="s">
        <v>24</v>
      </c>
      <c r="I51" s="54">
        <v>161901240</v>
      </c>
      <c r="J51" s="43">
        <v>0.4</v>
      </c>
      <c r="K51" s="54">
        <v>154844722</v>
      </c>
      <c r="L51" s="19">
        <v>0.28999999999999998</v>
      </c>
      <c r="M51" s="66">
        <v>316745962</v>
      </c>
      <c r="N51" s="20">
        <v>0.34</v>
      </c>
    </row>
    <row r="52" spans="1:14" ht="12" customHeight="1" x14ac:dyDescent="0.2">
      <c r="A52" s="9" t="s">
        <v>7</v>
      </c>
      <c r="B52" s="70">
        <v>-174956343</v>
      </c>
      <c r="C52" s="38">
        <v>-0.42</v>
      </c>
      <c r="D52" s="70">
        <v>-9128347423</v>
      </c>
      <c r="E52" s="38">
        <v>-22.86</v>
      </c>
      <c r="F52" s="70">
        <v>-9303303766</v>
      </c>
      <c r="G52" s="10">
        <v>-11.34</v>
      </c>
      <c r="H52" s="23" t="s">
        <v>26</v>
      </c>
      <c r="I52" s="54">
        <v>10000</v>
      </c>
      <c r="J52" s="43">
        <v>0</v>
      </c>
      <c r="K52" s="54">
        <v>12015000</v>
      </c>
      <c r="L52" s="19">
        <v>0.02</v>
      </c>
      <c r="M52" s="66">
        <v>12025000</v>
      </c>
      <c r="N52" s="20">
        <v>0.01</v>
      </c>
    </row>
    <row r="53" spans="1:14" ht="12" customHeight="1" x14ac:dyDescent="0.2">
      <c r="A53" s="95" t="s">
        <v>69</v>
      </c>
      <c r="B53" s="68">
        <v>0</v>
      </c>
      <c r="C53" s="39">
        <v>0</v>
      </c>
      <c r="D53" s="68">
        <v>-7284613343</v>
      </c>
      <c r="E53" s="40">
        <v>-18.239999999999998</v>
      </c>
      <c r="F53" s="54">
        <v>-7284613343</v>
      </c>
      <c r="G53" s="15">
        <v>-8.8800000000000008</v>
      </c>
      <c r="H53" s="23" t="s">
        <v>28</v>
      </c>
      <c r="I53" s="54">
        <v>161891240</v>
      </c>
      <c r="J53" s="43">
        <v>0.4</v>
      </c>
      <c r="K53" s="54">
        <v>142829722</v>
      </c>
      <c r="L53" s="19">
        <v>0.27</v>
      </c>
      <c r="M53" s="66">
        <v>304720962</v>
      </c>
      <c r="N53" s="20">
        <v>0.33</v>
      </c>
    </row>
    <row r="54" spans="1:14" ht="12" customHeight="1" x14ac:dyDescent="0.2">
      <c r="A54" s="95" t="s">
        <v>40</v>
      </c>
      <c r="B54" s="68">
        <v>0</v>
      </c>
      <c r="C54" s="39">
        <v>0</v>
      </c>
      <c r="D54" s="68">
        <v>-835214906</v>
      </c>
      <c r="E54" s="40">
        <v>-2.09</v>
      </c>
      <c r="F54" s="54">
        <v>-835214906</v>
      </c>
      <c r="G54" s="15">
        <v>-1.02</v>
      </c>
      <c r="H54" s="24" t="s">
        <v>30</v>
      </c>
      <c r="I54" s="54">
        <v>2195000</v>
      </c>
      <c r="J54" s="43">
        <v>0.01</v>
      </c>
      <c r="K54" s="54">
        <v>13800000</v>
      </c>
      <c r="L54" s="19">
        <v>0.03</v>
      </c>
      <c r="M54" s="66">
        <v>15995000</v>
      </c>
      <c r="N54" s="20">
        <v>0.02</v>
      </c>
    </row>
    <row r="55" spans="1:14" ht="12" customHeight="1" x14ac:dyDescent="0.2">
      <c r="A55" s="95" t="s">
        <v>70</v>
      </c>
      <c r="B55" s="68">
        <v>0</v>
      </c>
      <c r="C55" s="39">
        <v>0</v>
      </c>
      <c r="D55" s="68">
        <v>-112510375</v>
      </c>
      <c r="E55" s="40">
        <v>-0.28000000000000003</v>
      </c>
      <c r="F55" s="54">
        <v>-112510375</v>
      </c>
      <c r="G55" s="15">
        <v>-0.14000000000000001</v>
      </c>
      <c r="H55" s="24" t="s">
        <v>34</v>
      </c>
      <c r="I55" s="54">
        <v>159696240</v>
      </c>
      <c r="J55" s="43">
        <v>0.4</v>
      </c>
      <c r="K55" s="54">
        <v>129029722</v>
      </c>
      <c r="L55" s="19">
        <v>0.24</v>
      </c>
      <c r="M55" s="66">
        <v>288725962</v>
      </c>
      <c r="N55" s="20">
        <v>0.31</v>
      </c>
    </row>
    <row r="56" spans="1:14" ht="12" customHeight="1" x14ac:dyDescent="0.2">
      <c r="A56" s="95" t="s">
        <v>71</v>
      </c>
      <c r="B56" s="68">
        <v>0</v>
      </c>
      <c r="C56" s="39">
        <v>0</v>
      </c>
      <c r="D56" s="68">
        <v>-36970361</v>
      </c>
      <c r="E56" s="40">
        <v>-0.09</v>
      </c>
      <c r="F56" s="54">
        <v>-36970361</v>
      </c>
      <c r="G56" s="15">
        <v>-0.05</v>
      </c>
      <c r="H56" s="22" t="s">
        <v>36</v>
      </c>
      <c r="I56" s="54">
        <v>0</v>
      </c>
      <c r="J56" s="43">
        <v>0</v>
      </c>
      <c r="K56" s="54">
        <v>12136486</v>
      </c>
      <c r="L56" s="19">
        <v>0.02</v>
      </c>
      <c r="M56" s="66">
        <v>12136486</v>
      </c>
      <c r="N56" s="20">
        <v>0.01</v>
      </c>
    </row>
    <row r="57" spans="1:14" ht="12" customHeight="1" x14ac:dyDescent="0.2">
      <c r="A57" s="95" t="s">
        <v>72</v>
      </c>
      <c r="B57" s="68">
        <v>0</v>
      </c>
      <c r="C57" s="39">
        <v>0</v>
      </c>
      <c r="D57" s="68">
        <v>-63092780</v>
      </c>
      <c r="E57" s="40">
        <v>-0.16</v>
      </c>
      <c r="F57" s="54">
        <v>-63092780</v>
      </c>
      <c r="G57" s="15">
        <v>-0.08</v>
      </c>
      <c r="H57" s="23" t="s">
        <v>28</v>
      </c>
      <c r="I57" s="54">
        <v>0</v>
      </c>
      <c r="J57" s="43">
        <v>0</v>
      </c>
      <c r="K57" s="54">
        <v>12136486</v>
      </c>
      <c r="L57" s="19">
        <v>0.02</v>
      </c>
      <c r="M57" s="66">
        <v>12136486</v>
      </c>
      <c r="N57" s="20">
        <v>0.01</v>
      </c>
    </row>
    <row r="58" spans="1:14" ht="12" customHeight="1" x14ac:dyDescent="0.2">
      <c r="A58" s="95" t="s">
        <v>73</v>
      </c>
      <c r="B58" s="68">
        <v>0</v>
      </c>
      <c r="C58" s="39">
        <v>0</v>
      </c>
      <c r="D58" s="68">
        <v>-44733157</v>
      </c>
      <c r="E58" s="40">
        <v>-0.11</v>
      </c>
      <c r="F58" s="54">
        <v>-44733157</v>
      </c>
      <c r="G58" s="15">
        <v>-0.05</v>
      </c>
      <c r="H58" s="24" t="s">
        <v>30</v>
      </c>
      <c r="I58" s="54">
        <v>0</v>
      </c>
      <c r="J58" s="43">
        <v>0</v>
      </c>
      <c r="K58" s="54">
        <v>4856250</v>
      </c>
      <c r="L58" s="19">
        <v>0.01</v>
      </c>
      <c r="M58" s="66">
        <v>4856250</v>
      </c>
      <c r="N58" s="20">
        <v>0.01</v>
      </c>
    </row>
    <row r="59" spans="1:14" ht="12" customHeight="1" x14ac:dyDescent="0.2">
      <c r="A59" s="95" t="s">
        <v>74</v>
      </c>
      <c r="B59" s="68">
        <v>0</v>
      </c>
      <c r="C59" s="39">
        <v>0</v>
      </c>
      <c r="D59" s="68">
        <v>-538901301</v>
      </c>
      <c r="E59" s="40">
        <v>-1.35</v>
      </c>
      <c r="F59" s="54">
        <v>-538901301</v>
      </c>
      <c r="G59" s="15">
        <v>-0.66</v>
      </c>
      <c r="H59" s="24" t="s">
        <v>34</v>
      </c>
      <c r="I59" s="54">
        <v>0</v>
      </c>
      <c r="J59" s="43">
        <v>0</v>
      </c>
      <c r="K59" s="54">
        <v>7280236</v>
      </c>
      <c r="L59" s="19">
        <v>0.01</v>
      </c>
      <c r="M59" s="66">
        <v>7280236</v>
      </c>
      <c r="N59" s="20">
        <v>0.01</v>
      </c>
    </row>
    <row r="60" spans="1:14" ht="12" customHeight="1" x14ac:dyDescent="0.2">
      <c r="A60" s="95" t="s">
        <v>76</v>
      </c>
      <c r="B60" s="68">
        <v>0</v>
      </c>
      <c r="C60" s="39">
        <v>0</v>
      </c>
      <c r="D60" s="68">
        <v>-161768904</v>
      </c>
      <c r="E60" s="40">
        <v>-0.41</v>
      </c>
      <c r="F60" s="54">
        <v>-161768904</v>
      </c>
      <c r="G60" s="15">
        <v>-0.2</v>
      </c>
      <c r="H60" s="11" t="s">
        <v>75</v>
      </c>
      <c r="I60" s="70">
        <v>1829430530</v>
      </c>
      <c r="J60" s="45">
        <v>4.53</v>
      </c>
      <c r="K60" s="70">
        <v>1500000000</v>
      </c>
      <c r="L60" s="18">
        <v>2.83</v>
      </c>
      <c r="M60" s="73">
        <v>3329430530</v>
      </c>
      <c r="N60" s="12">
        <v>3.56</v>
      </c>
    </row>
    <row r="61" spans="1:14" ht="12" customHeight="1" x14ac:dyDescent="0.2">
      <c r="A61" s="95" t="s">
        <v>77</v>
      </c>
      <c r="B61" s="68">
        <v>0</v>
      </c>
      <c r="C61" s="39">
        <v>0</v>
      </c>
      <c r="D61" s="68">
        <v>-6971202</v>
      </c>
      <c r="E61" s="40">
        <v>-0.02</v>
      </c>
      <c r="F61" s="54">
        <v>-6971202</v>
      </c>
      <c r="G61" s="15">
        <v>-0.01</v>
      </c>
      <c r="H61" s="22" t="s">
        <v>24</v>
      </c>
      <c r="I61" s="54">
        <v>1829430530</v>
      </c>
      <c r="J61" s="43">
        <v>4.53</v>
      </c>
      <c r="K61" s="54">
        <v>1500000000</v>
      </c>
      <c r="L61" s="19">
        <v>2.83</v>
      </c>
      <c r="M61" s="66">
        <v>3329430530</v>
      </c>
      <c r="N61" s="20">
        <v>3.56</v>
      </c>
    </row>
    <row r="62" spans="1:14" ht="12" customHeight="1" x14ac:dyDescent="0.2">
      <c r="A62" s="95" t="s">
        <v>78</v>
      </c>
      <c r="B62" s="68">
        <v>0</v>
      </c>
      <c r="C62" s="39">
        <v>0</v>
      </c>
      <c r="D62" s="68">
        <v>-30935794</v>
      </c>
      <c r="E62" s="40">
        <v>-0.08</v>
      </c>
      <c r="F62" s="54">
        <v>-30935794</v>
      </c>
      <c r="G62" s="15">
        <v>-0.04</v>
      </c>
      <c r="H62" s="23" t="s">
        <v>26</v>
      </c>
      <c r="I62" s="54">
        <v>1829430530</v>
      </c>
      <c r="J62" s="96">
        <v>4.53</v>
      </c>
      <c r="K62" s="54">
        <v>1500000000</v>
      </c>
      <c r="L62" s="97">
        <v>2.83</v>
      </c>
      <c r="M62" s="66">
        <v>3329430530</v>
      </c>
      <c r="N62" s="20">
        <v>3.56</v>
      </c>
    </row>
    <row r="63" spans="1:14" ht="12" customHeight="1" x14ac:dyDescent="0.2">
      <c r="A63" s="95" t="s">
        <v>79</v>
      </c>
      <c r="B63" s="68">
        <v>0</v>
      </c>
      <c r="C63" s="39">
        <v>0</v>
      </c>
      <c r="D63" s="68">
        <v>-10992501</v>
      </c>
      <c r="E63" s="40">
        <v>-0.03</v>
      </c>
      <c r="F63" s="54">
        <v>-10992501</v>
      </c>
      <c r="G63" s="15">
        <v>-0.01</v>
      </c>
      <c r="H63" s="11" t="s">
        <v>84</v>
      </c>
      <c r="I63" s="70">
        <v>613189292</v>
      </c>
      <c r="J63" s="45">
        <v>1.52</v>
      </c>
      <c r="K63" s="70">
        <v>0</v>
      </c>
      <c r="L63" s="18">
        <v>0</v>
      </c>
      <c r="M63" s="73">
        <v>613189292</v>
      </c>
      <c r="N63" s="12">
        <v>0.66</v>
      </c>
    </row>
    <row r="64" spans="1:14" ht="12" customHeight="1" x14ac:dyDescent="0.2">
      <c r="A64" s="95" t="s">
        <v>80</v>
      </c>
      <c r="B64" s="68">
        <v>0</v>
      </c>
      <c r="C64" s="39">
        <v>0</v>
      </c>
      <c r="D64" s="68">
        <v>-1642799</v>
      </c>
      <c r="E64" s="40">
        <v>0</v>
      </c>
      <c r="F64" s="54">
        <v>-1642799</v>
      </c>
      <c r="G64" s="15">
        <v>0</v>
      </c>
      <c r="H64" s="11"/>
      <c r="I64" s="70"/>
      <c r="J64" s="45"/>
      <c r="K64" s="70"/>
      <c r="L64" s="18"/>
      <c r="M64" s="73"/>
      <c r="N64" s="12"/>
    </row>
    <row r="65" spans="1:14" ht="12" customHeight="1" x14ac:dyDescent="0.2">
      <c r="A65" s="95" t="s">
        <v>81</v>
      </c>
      <c r="B65" s="54">
        <v>-174956343</v>
      </c>
      <c r="C65" s="39">
        <v>-0.42</v>
      </c>
      <c r="D65" s="68">
        <v>0</v>
      </c>
      <c r="E65" s="40">
        <v>0</v>
      </c>
      <c r="F65" s="54">
        <v>-174956343</v>
      </c>
      <c r="G65" s="15">
        <v>-0.21</v>
      </c>
      <c r="H65" s="25"/>
      <c r="I65" s="54"/>
      <c r="J65" s="43"/>
      <c r="K65" s="54"/>
      <c r="L65" s="19"/>
      <c r="M65" s="66"/>
      <c r="N65" s="20"/>
    </row>
    <row r="66" spans="1:14" ht="12" customHeight="1" x14ac:dyDescent="0.2">
      <c r="A66" s="102" t="s">
        <v>15</v>
      </c>
      <c r="B66" s="67"/>
      <c r="C66" s="58"/>
      <c r="D66" s="67"/>
      <c r="E66" s="59"/>
      <c r="F66" s="67"/>
      <c r="G66" s="60"/>
      <c r="H66" s="106" t="s">
        <v>16</v>
      </c>
      <c r="I66" s="67"/>
      <c r="J66" s="81"/>
      <c r="K66" s="67"/>
      <c r="L66" s="61"/>
      <c r="M66" s="71"/>
      <c r="N66" s="62"/>
    </row>
    <row r="67" spans="1:14" s="4" customFormat="1" ht="15" customHeight="1" x14ac:dyDescent="0.2">
      <c r="A67" s="103"/>
      <c r="B67" s="55">
        <v>42111518600</v>
      </c>
      <c r="C67" s="42">
        <v>100</v>
      </c>
      <c r="D67" s="55">
        <v>39934207249</v>
      </c>
      <c r="E67" s="42">
        <v>100</v>
      </c>
      <c r="F67" s="55">
        <v>82045725849</v>
      </c>
      <c r="G67" s="31">
        <v>100</v>
      </c>
      <c r="H67" s="107"/>
      <c r="I67" s="55">
        <v>40411443099</v>
      </c>
      <c r="J67" s="56">
        <v>100</v>
      </c>
      <c r="K67" s="55">
        <v>53077645550</v>
      </c>
      <c r="L67" s="57">
        <v>100</v>
      </c>
      <c r="M67" s="74">
        <v>93489088649</v>
      </c>
      <c r="N67" s="63">
        <v>100</v>
      </c>
    </row>
    <row r="68" spans="1:14" ht="15" customHeight="1" x14ac:dyDescent="0.2">
      <c r="A68" s="104" t="s">
        <v>13</v>
      </c>
      <c r="B68" s="54"/>
      <c r="C68" s="39"/>
      <c r="D68" s="54"/>
      <c r="E68" s="40"/>
      <c r="F68" s="54"/>
      <c r="G68" s="15"/>
      <c r="H68" s="108" t="s">
        <v>14</v>
      </c>
      <c r="I68" s="54"/>
      <c r="J68" s="82"/>
      <c r="K68" s="54"/>
      <c r="L68" s="14"/>
      <c r="M68" s="66"/>
      <c r="N68" s="64"/>
    </row>
    <row r="69" spans="1:14" ht="15" customHeight="1" x14ac:dyDescent="0.2">
      <c r="A69" s="105"/>
      <c r="B69" s="91">
        <v>2531041341</v>
      </c>
      <c r="C69" s="42">
        <v>100</v>
      </c>
      <c r="D69" s="55">
        <v>15753540990</v>
      </c>
      <c r="E69" s="42">
        <v>100</v>
      </c>
      <c r="F69" s="55">
        <v>18284582331</v>
      </c>
      <c r="G69" s="42">
        <v>100</v>
      </c>
      <c r="H69" s="109"/>
      <c r="I69" s="55">
        <v>16834675558</v>
      </c>
      <c r="J69" s="42">
        <v>100</v>
      </c>
      <c r="K69" s="55">
        <v>1449906773</v>
      </c>
      <c r="L69" s="42">
        <v>100</v>
      </c>
      <c r="M69" s="55">
        <v>18284582331</v>
      </c>
      <c r="N69" s="65">
        <v>100</v>
      </c>
    </row>
    <row r="70" spans="1:14" ht="12" x14ac:dyDescent="0.2">
      <c r="A70" s="102" t="s">
        <v>12</v>
      </c>
      <c r="B70" s="54"/>
      <c r="C70" s="39"/>
      <c r="D70" s="54"/>
      <c r="E70" s="40"/>
      <c r="F70" s="54"/>
      <c r="G70" s="15"/>
      <c r="H70" s="108" t="s">
        <v>17</v>
      </c>
      <c r="I70" s="66"/>
      <c r="J70" s="14"/>
      <c r="K70" s="66"/>
      <c r="L70" s="14"/>
      <c r="M70" s="66"/>
      <c r="N70" s="64"/>
    </row>
    <row r="71" spans="1:14" ht="12" x14ac:dyDescent="0.2">
      <c r="A71" s="103"/>
      <c r="B71" s="55">
        <v>44642559941</v>
      </c>
      <c r="C71" s="42">
        <v>100</v>
      </c>
      <c r="D71" s="55">
        <v>55687748239</v>
      </c>
      <c r="E71" s="42">
        <v>100</v>
      </c>
      <c r="F71" s="55">
        <v>100330308180</v>
      </c>
      <c r="G71" s="42">
        <v>100</v>
      </c>
      <c r="H71" s="109"/>
      <c r="I71" s="55">
        <v>57246118657</v>
      </c>
      <c r="J71" s="42">
        <v>100</v>
      </c>
      <c r="K71" s="55">
        <v>54527552323</v>
      </c>
      <c r="L71" s="42">
        <v>100</v>
      </c>
      <c r="M71" s="55">
        <v>111773670980</v>
      </c>
      <c r="N71" s="65">
        <v>100</v>
      </c>
    </row>
    <row r="72" spans="1:14" ht="11.25" customHeight="1" x14ac:dyDescent="0.2">
      <c r="A72"/>
      <c r="B72" s="6"/>
      <c r="C72" s="6"/>
      <c r="D72" s="6"/>
      <c r="E72" s="6"/>
      <c r="F72" s="6"/>
    </row>
    <row r="73" spans="1:14" x14ac:dyDescent="0.2">
      <c r="A73" s="98" t="s">
        <v>19</v>
      </c>
      <c r="B73" s="83"/>
      <c r="C73" s="84"/>
      <c r="D73" s="83"/>
      <c r="E73" s="84"/>
      <c r="F73" s="83"/>
      <c r="G73" s="86"/>
      <c r="H73" s="48"/>
      <c r="M73" s="30"/>
    </row>
    <row r="74" spans="1:14" x14ac:dyDescent="0.2">
      <c r="A74" s="98"/>
      <c r="B74" s="88">
        <f>B71-I71</f>
        <v>-12603558716</v>
      </c>
      <c r="C74" s="84"/>
      <c r="D74" s="88">
        <f>D71-K71</f>
        <v>1160195916</v>
      </c>
      <c r="E74" s="84"/>
      <c r="F74" s="88">
        <f>F71-M71</f>
        <v>-11443362800</v>
      </c>
      <c r="G74" s="86"/>
      <c r="H74" s="48"/>
    </row>
    <row r="75" spans="1:14" x14ac:dyDescent="0.2">
      <c r="A75" s="89"/>
      <c r="B75" s="90"/>
      <c r="C75" s="85"/>
      <c r="D75" s="90"/>
      <c r="E75" s="85"/>
      <c r="F75" s="90"/>
      <c r="G75" s="48"/>
      <c r="H75" s="48"/>
    </row>
    <row r="76" spans="1:14" ht="13.9" customHeight="1" x14ac:dyDescent="0.2">
      <c r="A76" s="87" t="s">
        <v>20</v>
      </c>
      <c r="B76" s="6"/>
      <c r="C76" s="6"/>
      <c r="D76" s="6"/>
      <c r="E76" s="6"/>
      <c r="F76" s="6"/>
      <c r="H76" s="32"/>
      <c r="I76" s="33"/>
      <c r="J76" s="34"/>
    </row>
    <row r="77" spans="1:14" ht="13.9" customHeight="1" x14ac:dyDescent="0.2">
      <c r="A77" s="87" t="s">
        <v>82</v>
      </c>
      <c r="B77" s="6"/>
      <c r="C77" s="6"/>
      <c r="D77" s="6"/>
      <c r="E77" s="6"/>
      <c r="F77" s="6"/>
      <c r="H77" s="32"/>
      <c r="I77" s="33"/>
      <c r="J77" s="34"/>
    </row>
    <row r="78" spans="1:14" ht="13.9" customHeight="1" x14ac:dyDescent="0.2">
      <c r="A78" t="s">
        <v>18</v>
      </c>
      <c r="B78" s="6"/>
      <c r="C78" s="6"/>
      <c r="D78" s="6"/>
      <c r="E78" s="6"/>
      <c r="F78" s="6"/>
      <c r="H78" s="32"/>
      <c r="I78" s="33"/>
      <c r="J78" s="34"/>
    </row>
    <row r="79" spans="1:14" ht="13.9" customHeight="1" x14ac:dyDescent="0.2">
      <c r="A79" s="87"/>
      <c r="B79" s="6"/>
      <c r="C79" s="6"/>
      <c r="D79" s="6"/>
      <c r="E79" s="6"/>
      <c r="F79" s="6"/>
      <c r="H79" s="32"/>
      <c r="I79" s="33"/>
      <c r="J79" s="34"/>
    </row>
    <row r="80" spans="1:14" ht="8.4499999999999993" customHeight="1" x14ac:dyDescent="0.2">
      <c r="A80"/>
      <c r="B80" s="6"/>
      <c r="C80" s="6"/>
      <c r="D80" s="6"/>
      <c r="E80" s="6"/>
      <c r="F80" s="6"/>
      <c r="H80" s="32"/>
      <c r="I80" s="33"/>
      <c r="J80" s="34"/>
    </row>
    <row r="81" spans="1:10" x14ac:dyDescent="0.2">
      <c r="A81"/>
      <c r="B81" s="6"/>
      <c r="C81" s="6"/>
      <c r="D81" s="6"/>
      <c r="E81" s="6"/>
      <c r="F81" s="6"/>
      <c r="H81" s="32"/>
      <c r="I81" s="33"/>
      <c r="J81" s="34"/>
    </row>
    <row r="82" spans="1:10" ht="8.4499999999999993" customHeight="1" x14ac:dyDescent="0.2">
      <c r="A82"/>
      <c r="B82" s="6"/>
      <c r="C82" s="6"/>
      <c r="D82" s="6"/>
      <c r="E82" s="6"/>
      <c r="F82" s="6"/>
      <c r="H82" s="35"/>
      <c r="I82" s="36"/>
      <c r="J82" s="37"/>
    </row>
    <row r="83" spans="1:10" x14ac:dyDescent="0.2">
      <c r="A83"/>
      <c r="B83" s="6"/>
      <c r="C83" s="6"/>
      <c r="D83" s="6"/>
      <c r="E83" s="6"/>
      <c r="F83" s="6"/>
      <c r="H83" s="32"/>
      <c r="I83" s="33"/>
      <c r="J83" s="34"/>
    </row>
    <row r="84" spans="1:10" x14ac:dyDescent="0.2">
      <c r="A84"/>
      <c r="B84" s="6"/>
      <c r="C84" s="6"/>
      <c r="D84" s="6"/>
      <c r="E84" s="6"/>
      <c r="F84" s="6"/>
      <c r="H84" s="32"/>
      <c r="I84" s="33"/>
      <c r="J84" s="34"/>
    </row>
    <row r="85" spans="1:10" x14ac:dyDescent="0.2">
      <c r="A85"/>
      <c r="B85" s="6"/>
      <c r="C85" s="6"/>
      <c r="D85" s="6"/>
      <c r="E85" s="6"/>
      <c r="F85" s="6"/>
      <c r="H85" s="32"/>
      <c r="I85" s="33"/>
      <c r="J85" s="34"/>
    </row>
    <row r="86" spans="1:10" x14ac:dyDescent="0.2">
      <c r="A86"/>
      <c r="B86" s="6"/>
      <c r="C86" s="6"/>
      <c r="D86" s="6"/>
      <c r="E86" s="6"/>
      <c r="F86" s="6"/>
      <c r="H86" s="32"/>
      <c r="I86" s="33"/>
      <c r="J86" s="34"/>
    </row>
    <row r="87" spans="1:10" x14ac:dyDescent="0.2">
      <c r="A87"/>
      <c r="B87" s="6"/>
      <c r="C87" s="6"/>
      <c r="D87" s="6"/>
      <c r="E87" s="6"/>
      <c r="F87" s="6"/>
      <c r="H87" s="32"/>
      <c r="I87" s="33"/>
      <c r="J87" s="34"/>
    </row>
    <row r="88" spans="1:10" ht="8.4499999999999993" customHeight="1" x14ac:dyDescent="0.2">
      <c r="A88"/>
      <c r="B88" s="6"/>
      <c r="C88" s="6"/>
      <c r="D88" s="6"/>
      <c r="E88" s="6"/>
      <c r="F88" s="6"/>
    </row>
    <row r="89" spans="1:10" x14ac:dyDescent="0.2">
      <c r="A89"/>
      <c r="B89" s="6"/>
      <c r="C89" s="6"/>
      <c r="D89" s="6"/>
      <c r="E89" s="6"/>
      <c r="F89" s="6"/>
    </row>
    <row r="90" spans="1:10" x14ac:dyDescent="0.2">
      <c r="A90"/>
      <c r="B90" s="6"/>
      <c r="C90" s="6"/>
      <c r="D90" s="6"/>
      <c r="E90" s="6"/>
      <c r="F90" s="6"/>
    </row>
    <row r="91" spans="1:10" x14ac:dyDescent="0.2">
      <c r="A91"/>
      <c r="B91" s="6"/>
      <c r="C91" s="6"/>
      <c r="D91" s="6"/>
      <c r="E91" s="6"/>
      <c r="F91" s="6"/>
    </row>
    <row r="92" spans="1:10" x14ac:dyDescent="0.2">
      <c r="A92"/>
      <c r="B92" s="6"/>
      <c r="C92" s="6"/>
      <c r="D92" s="6"/>
      <c r="E92" s="6"/>
      <c r="F92" s="6"/>
    </row>
    <row r="93" spans="1:10" x14ac:dyDescent="0.2">
      <c r="A93"/>
      <c r="B93" s="6"/>
      <c r="C93" s="6"/>
      <c r="D93" s="6"/>
      <c r="E93" s="6"/>
      <c r="F93" s="6"/>
    </row>
    <row r="94" spans="1:10" x14ac:dyDescent="0.2">
      <c r="A94"/>
      <c r="B94" s="6"/>
      <c r="C94" s="6"/>
      <c r="D94" s="6"/>
      <c r="E94" s="6"/>
      <c r="F94" s="6"/>
    </row>
    <row r="95" spans="1:10" x14ac:dyDescent="0.2">
      <c r="A95"/>
      <c r="B95" s="6"/>
      <c r="C95" s="6"/>
      <c r="D95" s="6"/>
      <c r="E95" s="6"/>
      <c r="F95" s="6"/>
    </row>
    <row r="96" spans="1:10" x14ac:dyDescent="0.2">
      <c r="A96"/>
      <c r="B96" s="6"/>
      <c r="C96" s="6"/>
      <c r="D96" s="6"/>
      <c r="E96" s="6"/>
      <c r="F96" s="6"/>
    </row>
    <row r="97" spans="1:6" ht="8.4499999999999993" customHeight="1" x14ac:dyDescent="0.2">
      <c r="A97"/>
      <c r="B97" s="6"/>
      <c r="C97" s="6"/>
      <c r="D97" s="6"/>
      <c r="E97" s="6"/>
      <c r="F97" s="6"/>
    </row>
    <row r="98" spans="1:6" x14ac:dyDescent="0.2">
      <c r="A98"/>
      <c r="B98" s="6"/>
      <c r="C98" s="6"/>
      <c r="D98" s="6"/>
      <c r="E98" s="6"/>
      <c r="F98" s="6"/>
    </row>
    <row r="99" spans="1:6" x14ac:dyDescent="0.2">
      <c r="A99"/>
      <c r="B99" s="6"/>
      <c r="C99" s="6"/>
      <c r="D99" s="6"/>
      <c r="E99" s="6"/>
      <c r="F99" s="6"/>
    </row>
    <row r="100" spans="1:6" ht="8.4499999999999993" customHeight="1" x14ac:dyDescent="0.2">
      <c r="A100"/>
      <c r="B100" s="6"/>
      <c r="C100" s="6"/>
      <c r="D100" s="6"/>
      <c r="E100" s="6"/>
      <c r="F100" s="6"/>
    </row>
    <row r="101" spans="1:6" x14ac:dyDescent="0.2">
      <c r="A101"/>
      <c r="B101" s="6"/>
      <c r="C101" s="6"/>
      <c r="D101" s="6"/>
      <c r="E101" s="6"/>
      <c r="F101" s="6"/>
    </row>
    <row r="102" spans="1:6" x14ac:dyDescent="0.2">
      <c r="A102"/>
      <c r="B102" s="6"/>
      <c r="C102" s="6"/>
      <c r="D102" s="6"/>
      <c r="E102" s="6"/>
      <c r="F102" s="6"/>
    </row>
    <row r="103" spans="1:6" x14ac:dyDescent="0.2">
      <c r="A103"/>
      <c r="B103" s="6"/>
      <c r="C103" s="6"/>
      <c r="D103" s="6"/>
      <c r="E103" s="6"/>
      <c r="F103" s="6"/>
    </row>
    <row r="104" spans="1:6" x14ac:dyDescent="0.2">
      <c r="A104"/>
      <c r="B104" s="6"/>
      <c r="C104" s="6"/>
      <c r="D104" s="6"/>
      <c r="E104" s="6"/>
      <c r="F104" s="6"/>
    </row>
    <row r="105" spans="1:6" x14ac:dyDescent="0.2">
      <c r="A105"/>
      <c r="B105" s="6"/>
      <c r="C105" s="6"/>
      <c r="D105" s="6"/>
      <c r="E105" s="6"/>
      <c r="F105" s="6"/>
    </row>
    <row r="106" spans="1:6" x14ac:dyDescent="0.2">
      <c r="A106"/>
      <c r="B106" s="6"/>
      <c r="C106" s="6"/>
      <c r="D106" s="6"/>
      <c r="E106" s="6"/>
      <c r="F106" s="6"/>
    </row>
    <row r="107" spans="1:6" x14ac:dyDescent="0.2">
      <c r="A107"/>
      <c r="B107" s="6"/>
      <c r="C107" s="6"/>
      <c r="D107" s="6"/>
      <c r="E107" s="6"/>
      <c r="F107" s="6"/>
    </row>
    <row r="108" spans="1:6" x14ac:dyDescent="0.2">
      <c r="A108"/>
      <c r="B108" s="6"/>
      <c r="C108" s="6"/>
      <c r="D108" s="6"/>
      <c r="E108" s="6"/>
      <c r="F108" s="6"/>
    </row>
    <row r="109" spans="1:6" x14ac:dyDescent="0.2">
      <c r="A109"/>
      <c r="B109" s="6"/>
      <c r="C109" s="6"/>
      <c r="D109" s="6"/>
      <c r="E109" s="6"/>
      <c r="F109" s="6"/>
    </row>
    <row r="110" spans="1:6" ht="8.4499999999999993" customHeight="1" x14ac:dyDescent="0.2">
      <c r="A110"/>
      <c r="B110" s="6"/>
      <c r="C110" s="6"/>
      <c r="D110" s="6"/>
      <c r="E110" s="6"/>
      <c r="F110" s="6"/>
    </row>
    <row r="111" spans="1:6" x14ac:dyDescent="0.2">
      <c r="A111"/>
      <c r="B111" s="6"/>
      <c r="C111" s="6"/>
      <c r="D111" s="6"/>
      <c r="E111" s="6"/>
      <c r="F111" s="6"/>
    </row>
    <row r="112" spans="1:6" ht="8.4499999999999993" customHeight="1" x14ac:dyDescent="0.2">
      <c r="A112"/>
      <c r="B112" s="6"/>
      <c r="C112" s="6"/>
      <c r="D112" s="6"/>
      <c r="E112" s="6"/>
      <c r="F112" s="6"/>
    </row>
    <row r="113" spans="1:6" x14ac:dyDescent="0.2">
      <c r="A113"/>
      <c r="B113" s="6"/>
      <c r="C113" s="6"/>
      <c r="D113" s="6"/>
      <c r="E113" s="6"/>
      <c r="F113" s="6"/>
    </row>
    <row r="114" spans="1:6" x14ac:dyDescent="0.2">
      <c r="A114"/>
      <c r="B114" s="6"/>
      <c r="C114" s="6"/>
      <c r="D114" s="6"/>
      <c r="E114" s="6"/>
      <c r="F114" s="6"/>
    </row>
    <row r="115" spans="1:6" x14ac:dyDescent="0.2">
      <c r="A115"/>
      <c r="B115" s="6"/>
      <c r="C115" s="6"/>
      <c r="D115" s="6"/>
      <c r="E115" s="6"/>
      <c r="F115" s="6"/>
    </row>
    <row r="116" spans="1:6" x14ac:dyDescent="0.2">
      <c r="A116"/>
      <c r="B116" s="6"/>
      <c r="C116" s="6"/>
      <c r="D116" s="6"/>
      <c r="E116" s="6"/>
      <c r="F116" s="6"/>
    </row>
    <row r="117" spans="1:6" x14ac:dyDescent="0.2">
      <c r="A117"/>
      <c r="B117" s="6"/>
      <c r="C117" s="6"/>
      <c r="D117" s="6"/>
      <c r="E117" s="6"/>
      <c r="F117" s="6"/>
    </row>
    <row r="118" spans="1:6" x14ac:dyDescent="0.2">
      <c r="A118"/>
      <c r="B118" s="6"/>
      <c r="C118" s="6"/>
      <c r="D118" s="6"/>
      <c r="E118" s="6"/>
      <c r="F118" s="6"/>
    </row>
    <row r="119" spans="1:6" x14ac:dyDescent="0.2">
      <c r="A119"/>
      <c r="B119" s="6"/>
      <c r="C119" s="6"/>
      <c r="D119" s="6"/>
      <c r="E119" s="6"/>
      <c r="F119" s="6"/>
    </row>
    <row r="120" spans="1:6" x14ac:dyDescent="0.2">
      <c r="A120"/>
      <c r="B120" s="6"/>
      <c r="C120" s="6"/>
      <c r="D120" s="6"/>
      <c r="E120" s="6"/>
      <c r="F120" s="6"/>
    </row>
    <row r="121" spans="1:6" x14ac:dyDescent="0.2">
      <c r="A121"/>
      <c r="B121" s="6"/>
      <c r="C121" s="6"/>
      <c r="D121" s="6"/>
      <c r="E121" s="6"/>
      <c r="F121" s="6"/>
    </row>
    <row r="122" spans="1:6" x14ac:dyDescent="0.2">
      <c r="A122"/>
      <c r="B122" s="6"/>
      <c r="C122" s="6"/>
      <c r="D122" s="6"/>
      <c r="E122" s="6"/>
      <c r="F122" s="6"/>
    </row>
    <row r="123" spans="1:6" ht="8.4499999999999993" customHeight="1" x14ac:dyDescent="0.2">
      <c r="A123"/>
      <c r="B123" s="6"/>
      <c r="C123" s="6"/>
      <c r="D123" s="6"/>
      <c r="E123" s="6"/>
      <c r="F123" s="6"/>
    </row>
    <row r="124" spans="1:6" x14ac:dyDescent="0.2">
      <c r="A124"/>
      <c r="B124" s="6"/>
      <c r="C124" s="6"/>
      <c r="D124" s="6"/>
      <c r="E124" s="6"/>
      <c r="F124" s="6"/>
    </row>
    <row r="125" spans="1:6" x14ac:dyDescent="0.2">
      <c r="A125"/>
      <c r="B125" s="6"/>
      <c r="C125" s="6"/>
      <c r="D125" s="6"/>
      <c r="E125" s="6"/>
      <c r="F125" s="6"/>
    </row>
    <row r="126" spans="1:6" x14ac:dyDescent="0.2">
      <c r="B126" s="7"/>
      <c r="C126" s="7"/>
      <c r="D126" s="7"/>
      <c r="E126" s="7"/>
      <c r="F126" s="7"/>
    </row>
    <row r="127" spans="1:6" x14ac:dyDescent="0.2">
      <c r="B127" s="7"/>
      <c r="C127" s="7"/>
      <c r="D127" s="7"/>
      <c r="E127" s="7"/>
      <c r="F127" s="7"/>
    </row>
    <row r="128" spans="1:6" x14ac:dyDescent="0.2">
      <c r="B128" s="7"/>
      <c r="C128" s="7"/>
      <c r="D128" s="7"/>
      <c r="E128" s="7"/>
      <c r="F128" s="7"/>
    </row>
    <row r="129" spans="2:6" x14ac:dyDescent="0.2">
      <c r="B129" s="7"/>
      <c r="C129" s="7"/>
      <c r="D129" s="7"/>
      <c r="E129" s="7"/>
      <c r="F129" s="7"/>
    </row>
    <row r="130" spans="2:6" x14ac:dyDescent="0.2">
      <c r="B130" s="7"/>
      <c r="C130" s="7"/>
      <c r="D130" s="7"/>
      <c r="E130" s="7"/>
      <c r="F130" s="7"/>
    </row>
    <row r="131" spans="2:6" x14ac:dyDescent="0.2">
      <c r="B131" s="7"/>
      <c r="C131" s="7"/>
      <c r="D131" s="7"/>
      <c r="E131" s="7"/>
      <c r="F131" s="7"/>
    </row>
    <row r="132" spans="2:6" x14ac:dyDescent="0.2">
      <c r="B132" s="7"/>
      <c r="C132" s="7"/>
      <c r="D132" s="7"/>
      <c r="E132" s="7"/>
      <c r="F132" s="7"/>
    </row>
    <row r="133" spans="2:6" x14ac:dyDescent="0.2">
      <c r="B133" s="7"/>
      <c r="C133" s="7"/>
      <c r="D133" s="7"/>
      <c r="E133" s="7"/>
      <c r="F133" s="7"/>
    </row>
    <row r="134" spans="2:6" x14ac:dyDescent="0.2">
      <c r="B134" s="7"/>
      <c r="C134" s="7"/>
      <c r="D134" s="7"/>
      <c r="E134" s="7"/>
      <c r="F134" s="7"/>
    </row>
    <row r="135" spans="2:6" x14ac:dyDescent="0.2">
      <c r="B135" s="7"/>
      <c r="C135" s="7"/>
      <c r="D135" s="7"/>
      <c r="E135" s="7"/>
      <c r="F135" s="7"/>
    </row>
    <row r="136" spans="2:6" x14ac:dyDescent="0.2">
      <c r="B136" s="7"/>
      <c r="C136" s="7"/>
      <c r="D136" s="7"/>
      <c r="E136" s="7"/>
      <c r="F136" s="7"/>
    </row>
    <row r="137" spans="2:6" x14ac:dyDescent="0.2">
      <c r="B137" s="7"/>
      <c r="C137" s="7"/>
      <c r="D137" s="7"/>
      <c r="E137" s="7"/>
      <c r="F137" s="7"/>
    </row>
    <row r="138" spans="2:6" x14ac:dyDescent="0.2">
      <c r="B138" s="7"/>
      <c r="C138" s="7"/>
      <c r="D138" s="7"/>
      <c r="E138" s="7"/>
      <c r="F138" s="7"/>
    </row>
    <row r="139" spans="2:6" x14ac:dyDescent="0.2">
      <c r="B139" s="7"/>
      <c r="C139" s="7"/>
      <c r="D139" s="7"/>
      <c r="E139" s="7"/>
      <c r="F139" s="7"/>
    </row>
    <row r="140" spans="2:6" x14ac:dyDescent="0.2">
      <c r="B140" s="7"/>
      <c r="C140" s="7"/>
      <c r="D140" s="7"/>
      <c r="E140" s="7"/>
      <c r="F140" s="7"/>
    </row>
    <row r="141" spans="2:6" x14ac:dyDescent="0.2">
      <c r="B141" s="7"/>
      <c r="C141" s="7"/>
      <c r="D141" s="7"/>
      <c r="E141" s="7"/>
      <c r="F141" s="7"/>
    </row>
    <row r="142" spans="2:6" x14ac:dyDescent="0.2">
      <c r="B142" s="7"/>
      <c r="C142" s="7"/>
      <c r="D142" s="7"/>
      <c r="E142" s="7"/>
      <c r="F142" s="7"/>
    </row>
    <row r="143" spans="2:6" x14ac:dyDescent="0.2">
      <c r="B143" s="7"/>
      <c r="C143" s="7"/>
      <c r="D143" s="7"/>
      <c r="E143" s="7"/>
      <c r="F143" s="7"/>
    </row>
    <row r="144" spans="2:6" x14ac:dyDescent="0.2">
      <c r="B144" s="7"/>
      <c r="C144" s="7"/>
      <c r="D144" s="7"/>
      <c r="E144" s="7"/>
      <c r="F144" s="7"/>
    </row>
    <row r="145" spans="2:6" x14ac:dyDescent="0.2">
      <c r="B145" s="7"/>
      <c r="C145" s="7"/>
      <c r="D145" s="7"/>
      <c r="E145" s="7"/>
      <c r="F145" s="7"/>
    </row>
    <row r="146" spans="2:6" x14ac:dyDescent="0.2">
      <c r="B146" s="7"/>
      <c r="C146" s="7"/>
      <c r="D146" s="7"/>
      <c r="E146" s="7"/>
      <c r="F146" s="7"/>
    </row>
    <row r="147" spans="2:6" x14ac:dyDescent="0.2">
      <c r="B147" s="7"/>
      <c r="C147" s="7"/>
      <c r="D147" s="7"/>
      <c r="E147" s="7"/>
      <c r="F147" s="7"/>
    </row>
    <row r="148" spans="2:6" x14ac:dyDescent="0.2">
      <c r="B148" s="7"/>
      <c r="C148" s="7"/>
      <c r="D148" s="7"/>
      <c r="E148" s="7"/>
      <c r="F148" s="7"/>
    </row>
    <row r="149" spans="2:6" x14ac:dyDescent="0.2">
      <c r="B149" s="7"/>
      <c r="C149" s="7"/>
      <c r="D149" s="7"/>
      <c r="E149" s="7"/>
      <c r="F149" s="7"/>
    </row>
    <row r="150" spans="2:6" x14ac:dyDescent="0.2">
      <c r="B150" s="7"/>
      <c r="C150" s="7"/>
      <c r="D150" s="7"/>
      <c r="E150" s="7"/>
      <c r="F150" s="7"/>
    </row>
    <row r="151" spans="2:6" x14ac:dyDescent="0.2">
      <c r="B151" s="7"/>
      <c r="C151" s="7"/>
      <c r="D151" s="7"/>
      <c r="E151" s="7"/>
      <c r="F151" s="7"/>
    </row>
    <row r="152" spans="2:6" x14ac:dyDescent="0.2">
      <c r="B152" s="7"/>
      <c r="C152" s="7"/>
      <c r="D152" s="7"/>
      <c r="E152" s="7"/>
      <c r="F152" s="7"/>
    </row>
    <row r="153" spans="2:6" x14ac:dyDescent="0.2">
      <c r="B153" s="7"/>
      <c r="C153" s="7"/>
      <c r="D153" s="7"/>
      <c r="E153" s="7"/>
      <c r="F153" s="7"/>
    </row>
    <row r="154" spans="2:6" x14ac:dyDescent="0.2">
      <c r="B154" s="7"/>
      <c r="C154" s="7"/>
      <c r="D154" s="7"/>
      <c r="E154" s="7"/>
      <c r="F154" s="7"/>
    </row>
    <row r="155" spans="2:6" x14ac:dyDescent="0.2">
      <c r="B155" s="7"/>
      <c r="C155" s="7"/>
      <c r="D155" s="7"/>
      <c r="E155" s="7"/>
      <c r="F155" s="7"/>
    </row>
    <row r="156" spans="2:6" x14ac:dyDescent="0.2">
      <c r="B156" s="7"/>
      <c r="C156" s="7"/>
      <c r="D156" s="7"/>
      <c r="E156" s="7"/>
      <c r="F156" s="7"/>
    </row>
    <row r="157" spans="2:6" x14ac:dyDescent="0.2">
      <c r="B157" s="7"/>
      <c r="C157" s="7"/>
      <c r="D157" s="7"/>
      <c r="E157" s="7"/>
      <c r="F157" s="7"/>
    </row>
    <row r="158" spans="2:6" x14ac:dyDescent="0.2">
      <c r="B158" s="7"/>
      <c r="C158" s="7"/>
      <c r="D158" s="7"/>
      <c r="E158" s="7"/>
      <c r="F158" s="7"/>
    </row>
    <row r="159" spans="2:6" x14ac:dyDescent="0.2">
      <c r="B159" s="7"/>
      <c r="C159" s="7"/>
      <c r="D159" s="7"/>
      <c r="E159" s="7"/>
      <c r="F159" s="7"/>
    </row>
    <row r="160" spans="2:6" x14ac:dyDescent="0.2">
      <c r="B160" s="7"/>
      <c r="C160" s="7"/>
      <c r="D160" s="7"/>
      <c r="E160" s="7"/>
      <c r="F160" s="7"/>
    </row>
    <row r="161" spans="2:6" x14ac:dyDescent="0.2">
      <c r="B161" s="7"/>
      <c r="C161" s="7"/>
      <c r="D161" s="7"/>
      <c r="E161" s="7"/>
      <c r="F161" s="7"/>
    </row>
    <row r="162" spans="2:6" x14ac:dyDescent="0.2">
      <c r="B162" s="7"/>
      <c r="C162" s="7"/>
      <c r="D162" s="7"/>
      <c r="E162" s="7"/>
      <c r="F162" s="7"/>
    </row>
    <row r="163" spans="2:6" x14ac:dyDescent="0.2">
      <c r="B163" s="7"/>
      <c r="C163" s="7"/>
      <c r="D163" s="7"/>
      <c r="E163" s="7"/>
      <c r="F163" s="7"/>
    </row>
    <row r="164" spans="2:6" x14ac:dyDescent="0.2">
      <c r="B164" s="7"/>
      <c r="C164" s="7"/>
      <c r="D164" s="7"/>
      <c r="E164" s="7"/>
      <c r="F164" s="7"/>
    </row>
    <row r="165" spans="2:6" x14ac:dyDescent="0.2">
      <c r="B165" s="7"/>
      <c r="C165" s="7"/>
      <c r="D165" s="7"/>
      <c r="E165" s="7"/>
      <c r="F165" s="7"/>
    </row>
    <row r="166" spans="2:6" x14ac:dyDescent="0.2">
      <c r="B166" s="7"/>
      <c r="C166" s="7"/>
      <c r="D166" s="7"/>
      <c r="E166" s="7"/>
      <c r="F166" s="7"/>
    </row>
    <row r="167" spans="2:6" x14ac:dyDescent="0.2">
      <c r="B167" s="7"/>
      <c r="C167" s="7"/>
      <c r="D167" s="7"/>
      <c r="E167" s="7"/>
      <c r="F167" s="7"/>
    </row>
    <row r="168" spans="2:6" x14ac:dyDescent="0.2">
      <c r="B168" s="7"/>
      <c r="C168" s="7"/>
      <c r="D168" s="7"/>
      <c r="E168" s="7"/>
      <c r="F168" s="7"/>
    </row>
    <row r="169" spans="2:6" x14ac:dyDescent="0.2">
      <c r="B169" s="7"/>
      <c r="C169" s="7"/>
      <c r="D169" s="7"/>
      <c r="E169" s="7"/>
      <c r="F169" s="7"/>
    </row>
    <row r="170" spans="2:6" x14ac:dyDescent="0.2">
      <c r="B170" s="7"/>
      <c r="C170" s="7"/>
      <c r="D170" s="7"/>
      <c r="E170" s="7"/>
      <c r="F170" s="7"/>
    </row>
    <row r="171" spans="2:6" x14ac:dyDescent="0.2">
      <c r="B171" s="7"/>
      <c r="C171" s="7"/>
      <c r="D171" s="7"/>
      <c r="E171" s="7"/>
      <c r="F171" s="7"/>
    </row>
    <row r="172" spans="2:6" x14ac:dyDescent="0.2">
      <c r="B172" s="7"/>
      <c r="C172" s="7"/>
      <c r="D172" s="7"/>
      <c r="E172" s="7"/>
      <c r="F172" s="7"/>
    </row>
    <row r="173" spans="2:6" x14ac:dyDescent="0.2">
      <c r="B173" s="7"/>
      <c r="C173" s="7"/>
      <c r="D173" s="7"/>
      <c r="E173" s="7"/>
      <c r="F173" s="7"/>
    </row>
    <row r="174" spans="2:6" x14ac:dyDescent="0.2">
      <c r="B174" s="7"/>
      <c r="C174" s="7"/>
      <c r="D174" s="7"/>
      <c r="E174" s="7"/>
      <c r="F174" s="7"/>
    </row>
    <row r="175" spans="2:6" x14ac:dyDescent="0.2">
      <c r="B175" s="7"/>
      <c r="C175" s="7"/>
      <c r="D175" s="7"/>
      <c r="E175" s="7"/>
      <c r="F175" s="7"/>
    </row>
    <row r="176" spans="2:6" x14ac:dyDescent="0.2">
      <c r="B176" s="7"/>
      <c r="C176" s="7"/>
      <c r="D176" s="7"/>
      <c r="E176" s="7"/>
      <c r="F176" s="7"/>
    </row>
    <row r="177" spans="2:6" x14ac:dyDescent="0.2">
      <c r="B177" s="7"/>
      <c r="C177" s="7"/>
      <c r="D177" s="7"/>
      <c r="E177" s="7"/>
      <c r="F177" s="7"/>
    </row>
    <row r="178" spans="2:6" x14ac:dyDescent="0.2">
      <c r="B178" s="7"/>
      <c r="C178" s="7"/>
      <c r="D178" s="7"/>
      <c r="E178" s="7"/>
      <c r="F178" s="7"/>
    </row>
    <row r="179" spans="2:6" x14ac:dyDescent="0.2">
      <c r="B179" s="7"/>
      <c r="C179" s="7"/>
      <c r="D179" s="7"/>
      <c r="E179" s="7"/>
      <c r="F179" s="7"/>
    </row>
    <row r="180" spans="2:6" x14ac:dyDescent="0.2">
      <c r="B180" s="7"/>
      <c r="C180" s="7"/>
      <c r="D180" s="7"/>
      <c r="E180" s="7"/>
      <c r="F180" s="7"/>
    </row>
    <row r="181" spans="2:6" x14ac:dyDescent="0.2">
      <c r="B181" s="7"/>
      <c r="C181" s="7"/>
      <c r="D181" s="7"/>
      <c r="E181" s="7"/>
      <c r="F181" s="7"/>
    </row>
    <row r="182" spans="2:6" x14ac:dyDescent="0.2">
      <c r="B182" s="7"/>
      <c r="C182" s="7"/>
      <c r="D182" s="7"/>
      <c r="E182" s="7"/>
      <c r="F182" s="7"/>
    </row>
    <row r="183" spans="2:6" x14ac:dyDescent="0.2">
      <c r="B183" s="7"/>
      <c r="C183" s="7"/>
      <c r="D183" s="7"/>
      <c r="E183" s="7"/>
      <c r="F183" s="7"/>
    </row>
    <row r="184" spans="2:6" x14ac:dyDescent="0.2">
      <c r="B184" s="7"/>
      <c r="C184" s="7"/>
      <c r="D184" s="7"/>
      <c r="E184" s="7"/>
      <c r="F184" s="7"/>
    </row>
    <row r="185" spans="2:6" x14ac:dyDescent="0.2">
      <c r="B185" s="7"/>
      <c r="C185" s="7"/>
      <c r="D185" s="7"/>
      <c r="E185" s="7"/>
      <c r="F185" s="7"/>
    </row>
    <row r="186" spans="2:6" x14ac:dyDescent="0.2">
      <c r="B186" s="7"/>
      <c r="C186" s="7"/>
      <c r="D186" s="7"/>
      <c r="E186" s="7"/>
      <c r="F186" s="7"/>
    </row>
    <row r="187" spans="2:6" x14ac:dyDescent="0.2">
      <c r="B187" s="7"/>
      <c r="C187" s="7"/>
      <c r="D187" s="7"/>
      <c r="E187" s="7"/>
      <c r="F187" s="7"/>
    </row>
    <row r="188" spans="2:6" x14ac:dyDescent="0.2">
      <c r="B188" s="7"/>
      <c r="C188" s="7"/>
      <c r="D188" s="7"/>
      <c r="E188" s="7"/>
      <c r="F188" s="7"/>
    </row>
    <row r="189" spans="2:6" x14ac:dyDescent="0.2">
      <c r="B189" s="7"/>
      <c r="C189" s="7"/>
      <c r="D189" s="7"/>
      <c r="E189" s="7"/>
      <c r="F189" s="7"/>
    </row>
    <row r="190" spans="2:6" x14ac:dyDescent="0.2">
      <c r="B190" s="7"/>
      <c r="C190" s="7"/>
      <c r="D190" s="7"/>
      <c r="E190" s="7"/>
      <c r="F190" s="7"/>
    </row>
    <row r="191" spans="2:6" x14ac:dyDescent="0.2">
      <c r="B191" s="7"/>
      <c r="C191" s="7"/>
      <c r="D191" s="7"/>
      <c r="E191" s="7"/>
      <c r="F191" s="7"/>
    </row>
    <row r="192" spans="2:6" x14ac:dyDescent="0.2">
      <c r="B192" s="7"/>
      <c r="C192" s="7"/>
      <c r="D192" s="7"/>
      <c r="E192" s="7"/>
      <c r="F192" s="7"/>
    </row>
    <row r="193" spans="2:6" x14ac:dyDescent="0.2">
      <c r="B193" s="7"/>
      <c r="C193" s="7"/>
      <c r="D193" s="7"/>
      <c r="E193" s="7"/>
      <c r="F193" s="7"/>
    </row>
    <row r="194" spans="2:6" x14ac:dyDescent="0.2">
      <c r="B194" s="7"/>
      <c r="C194" s="7"/>
      <c r="D194" s="7"/>
      <c r="E194" s="7"/>
      <c r="F194" s="7"/>
    </row>
    <row r="195" spans="2:6" x14ac:dyDescent="0.2">
      <c r="B195" s="7"/>
      <c r="C195" s="7"/>
      <c r="D195" s="7"/>
      <c r="E195" s="7"/>
      <c r="F195" s="7"/>
    </row>
    <row r="196" spans="2:6" x14ac:dyDescent="0.2">
      <c r="B196" s="7"/>
      <c r="C196" s="7"/>
      <c r="D196" s="7"/>
      <c r="E196" s="7"/>
      <c r="F196" s="7"/>
    </row>
    <row r="197" spans="2:6" x14ac:dyDescent="0.2">
      <c r="B197" s="7"/>
      <c r="C197" s="7"/>
      <c r="D197" s="7"/>
      <c r="E197" s="7"/>
      <c r="F197" s="7"/>
    </row>
    <row r="198" spans="2:6" x14ac:dyDescent="0.2">
      <c r="B198" s="7"/>
      <c r="C198" s="7"/>
      <c r="D198" s="7"/>
      <c r="E198" s="7"/>
      <c r="F198" s="7"/>
    </row>
    <row r="199" spans="2:6" x14ac:dyDescent="0.2">
      <c r="B199" s="7"/>
      <c r="C199" s="7"/>
      <c r="D199" s="7"/>
      <c r="E199" s="7"/>
      <c r="F199" s="7"/>
    </row>
    <row r="200" spans="2:6" x14ac:dyDescent="0.2">
      <c r="B200" s="7"/>
      <c r="C200" s="7"/>
      <c r="D200" s="7"/>
      <c r="E200" s="7"/>
      <c r="F200" s="7"/>
    </row>
    <row r="201" spans="2:6" x14ac:dyDescent="0.2">
      <c r="B201" s="7"/>
      <c r="C201" s="7"/>
      <c r="D201" s="7"/>
      <c r="E201" s="7"/>
      <c r="F201" s="7"/>
    </row>
    <row r="202" spans="2:6" x14ac:dyDescent="0.2">
      <c r="B202" s="7"/>
      <c r="C202" s="7"/>
      <c r="D202" s="7"/>
      <c r="E202" s="7"/>
      <c r="F202" s="7"/>
    </row>
    <row r="203" spans="2:6" x14ac:dyDescent="0.2">
      <c r="B203" s="7"/>
      <c r="C203" s="7"/>
      <c r="D203" s="7"/>
      <c r="E203" s="7"/>
      <c r="F203" s="7"/>
    </row>
    <row r="204" spans="2:6" x14ac:dyDescent="0.2">
      <c r="B204" s="7"/>
      <c r="C204" s="7"/>
      <c r="D204" s="7"/>
      <c r="E204" s="7"/>
      <c r="F204" s="7"/>
    </row>
    <row r="205" spans="2:6" x14ac:dyDescent="0.2">
      <c r="B205" s="7"/>
      <c r="C205" s="7"/>
      <c r="D205" s="7"/>
      <c r="E205" s="7"/>
      <c r="F205" s="7"/>
    </row>
    <row r="206" spans="2:6" x14ac:dyDescent="0.2">
      <c r="B206" s="7"/>
      <c r="C206" s="7"/>
      <c r="D206" s="7"/>
      <c r="E206" s="7"/>
      <c r="F206" s="7"/>
    </row>
    <row r="207" spans="2:6" x14ac:dyDescent="0.2">
      <c r="B207" s="7"/>
      <c r="C207" s="7"/>
      <c r="D207" s="7"/>
      <c r="E207" s="7"/>
      <c r="F207" s="7"/>
    </row>
    <row r="208" spans="2:6" x14ac:dyDescent="0.2">
      <c r="B208" s="7"/>
      <c r="C208" s="7"/>
      <c r="D208" s="7"/>
      <c r="E208" s="7"/>
      <c r="F208" s="7"/>
    </row>
    <row r="209" spans="2:6" x14ac:dyDescent="0.2">
      <c r="B209" s="7"/>
      <c r="C209" s="7"/>
      <c r="D209" s="7"/>
      <c r="E209" s="7"/>
      <c r="F209" s="7"/>
    </row>
    <row r="210" spans="2:6" x14ac:dyDescent="0.2">
      <c r="B210" s="7"/>
      <c r="C210" s="7"/>
      <c r="D210" s="7"/>
      <c r="E210" s="7"/>
      <c r="F210" s="7"/>
    </row>
    <row r="211" spans="2:6" x14ac:dyDescent="0.2">
      <c r="B211" s="7"/>
      <c r="C211" s="7"/>
      <c r="D211" s="7"/>
      <c r="E211" s="7"/>
      <c r="F211" s="7"/>
    </row>
    <row r="212" spans="2:6" x14ac:dyDescent="0.2">
      <c r="B212" s="7"/>
      <c r="C212" s="7"/>
      <c r="D212" s="7"/>
      <c r="E212" s="7"/>
      <c r="F212" s="7"/>
    </row>
    <row r="213" spans="2:6" x14ac:dyDescent="0.2">
      <c r="B213" s="7"/>
      <c r="C213" s="7"/>
      <c r="D213" s="7"/>
      <c r="E213" s="7"/>
      <c r="F213" s="7"/>
    </row>
    <row r="214" spans="2:6" x14ac:dyDescent="0.2">
      <c r="B214" s="7"/>
      <c r="C214" s="7"/>
      <c r="D214" s="7"/>
      <c r="E214" s="7"/>
      <c r="F214" s="7"/>
    </row>
    <row r="215" spans="2:6" x14ac:dyDescent="0.2">
      <c r="B215" s="7"/>
      <c r="C215" s="7"/>
      <c r="D215" s="7"/>
      <c r="E215" s="7"/>
      <c r="F215" s="7"/>
    </row>
    <row r="216" spans="2:6" x14ac:dyDescent="0.2">
      <c r="B216" s="7"/>
      <c r="C216" s="7"/>
      <c r="D216" s="7"/>
      <c r="E216" s="7"/>
      <c r="F216" s="7"/>
    </row>
    <row r="217" spans="2:6" x14ac:dyDescent="0.2">
      <c r="B217" s="7"/>
      <c r="C217" s="7"/>
      <c r="D217" s="7"/>
      <c r="E217" s="7"/>
      <c r="F217" s="7"/>
    </row>
    <row r="218" spans="2:6" x14ac:dyDescent="0.2">
      <c r="B218" s="7"/>
      <c r="C218" s="7"/>
      <c r="D218" s="7"/>
      <c r="E218" s="7"/>
      <c r="F218" s="7"/>
    </row>
    <row r="219" spans="2:6" x14ac:dyDescent="0.2">
      <c r="B219" s="7"/>
      <c r="C219" s="7"/>
      <c r="D219" s="7"/>
      <c r="E219" s="7"/>
      <c r="F219" s="7"/>
    </row>
    <row r="220" spans="2:6" x14ac:dyDescent="0.2">
      <c r="B220" s="7"/>
      <c r="C220" s="7"/>
      <c r="D220" s="7"/>
      <c r="E220" s="7"/>
      <c r="F220" s="7"/>
    </row>
    <row r="221" spans="2:6" x14ac:dyDescent="0.2">
      <c r="B221" s="7"/>
      <c r="C221" s="7"/>
      <c r="D221" s="7"/>
      <c r="E221" s="7"/>
      <c r="F221" s="7"/>
    </row>
    <row r="222" spans="2:6" x14ac:dyDescent="0.2">
      <c r="B222" s="7"/>
      <c r="C222" s="7"/>
      <c r="D222" s="7"/>
      <c r="E222" s="7"/>
      <c r="F222" s="7"/>
    </row>
    <row r="223" spans="2:6" x14ac:dyDescent="0.2">
      <c r="B223" s="7"/>
      <c r="C223" s="7"/>
      <c r="D223" s="7"/>
      <c r="E223" s="7"/>
      <c r="F223" s="7"/>
    </row>
    <row r="224" spans="2:6" x14ac:dyDescent="0.2">
      <c r="B224" s="7"/>
      <c r="C224" s="7"/>
      <c r="D224" s="7"/>
      <c r="E224" s="7"/>
      <c r="F224" s="7"/>
    </row>
    <row r="225" spans="2:6" x14ac:dyDescent="0.2">
      <c r="B225" s="7"/>
      <c r="C225" s="7"/>
      <c r="D225" s="7"/>
      <c r="E225" s="7"/>
      <c r="F225" s="7"/>
    </row>
    <row r="226" spans="2:6" x14ac:dyDescent="0.2">
      <c r="B226" s="7"/>
      <c r="C226" s="7"/>
      <c r="D226" s="7"/>
      <c r="E226" s="7"/>
      <c r="F226" s="7"/>
    </row>
    <row r="227" spans="2:6" x14ac:dyDescent="0.2">
      <c r="B227" s="7"/>
      <c r="C227" s="7"/>
      <c r="D227" s="7"/>
      <c r="E227" s="7"/>
      <c r="F227" s="7"/>
    </row>
    <row r="228" spans="2:6" x14ac:dyDescent="0.2">
      <c r="B228" s="7"/>
      <c r="C228" s="7"/>
      <c r="D228" s="7"/>
      <c r="E228" s="7"/>
      <c r="F228" s="7"/>
    </row>
    <row r="229" spans="2:6" x14ac:dyDescent="0.2">
      <c r="B229" s="7"/>
      <c r="C229" s="7"/>
      <c r="D229" s="7"/>
      <c r="E229" s="7"/>
      <c r="F229" s="7"/>
    </row>
    <row r="230" spans="2:6" x14ac:dyDescent="0.2">
      <c r="B230" s="7"/>
      <c r="C230" s="7"/>
      <c r="D230" s="7"/>
      <c r="E230" s="7"/>
      <c r="F230" s="7"/>
    </row>
    <row r="231" spans="2:6" x14ac:dyDescent="0.2">
      <c r="B231" s="7"/>
      <c r="C231" s="7"/>
      <c r="D231" s="7"/>
      <c r="E231" s="7"/>
      <c r="F231" s="7"/>
    </row>
    <row r="232" spans="2:6" x14ac:dyDescent="0.2">
      <c r="B232" s="7"/>
      <c r="C232" s="7"/>
      <c r="D232" s="7"/>
      <c r="E232" s="7"/>
      <c r="F232" s="7"/>
    </row>
    <row r="233" spans="2:6" x14ac:dyDescent="0.2">
      <c r="B233" s="7"/>
      <c r="C233" s="7"/>
      <c r="D233" s="7"/>
      <c r="E233" s="7"/>
      <c r="F233" s="7"/>
    </row>
    <row r="234" spans="2:6" x14ac:dyDescent="0.2">
      <c r="B234" s="7"/>
      <c r="C234" s="7"/>
      <c r="D234" s="7"/>
      <c r="E234" s="7"/>
      <c r="F234" s="7"/>
    </row>
    <row r="235" spans="2:6" x14ac:dyDescent="0.2">
      <c r="B235" s="7"/>
      <c r="C235" s="7"/>
      <c r="D235" s="7"/>
      <c r="E235" s="7"/>
      <c r="F235" s="7"/>
    </row>
    <row r="236" spans="2:6" x14ac:dyDescent="0.2">
      <c r="B236" s="7"/>
      <c r="C236" s="7"/>
      <c r="D236" s="7"/>
      <c r="E236" s="7"/>
      <c r="F236" s="7"/>
    </row>
    <row r="237" spans="2:6" x14ac:dyDescent="0.2">
      <c r="B237" s="7"/>
      <c r="C237" s="7"/>
      <c r="D237" s="7"/>
      <c r="E237" s="7"/>
      <c r="F237" s="7"/>
    </row>
    <row r="238" spans="2:6" x14ac:dyDescent="0.2">
      <c r="B238" s="7"/>
      <c r="C238" s="7"/>
      <c r="D238" s="7"/>
      <c r="E238" s="7"/>
      <c r="F238" s="7"/>
    </row>
    <row r="239" spans="2:6" x14ac:dyDescent="0.2">
      <c r="B239" s="7"/>
      <c r="C239" s="7"/>
      <c r="D239" s="7"/>
      <c r="E239" s="7"/>
      <c r="F239" s="7"/>
    </row>
    <row r="240" spans="2:6" x14ac:dyDescent="0.2">
      <c r="B240" s="7"/>
      <c r="C240" s="7"/>
      <c r="D240" s="7"/>
      <c r="E240" s="7"/>
      <c r="F240" s="7"/>
    </row>
    <row r="241" spans="2:6" x14ac:dyDescent="0.2">
      <c r="B241" s="7"/>
      <c r="C241" s="7"/>
      <c r="D241" s="7"/>
      <c r="E241" s="7"/>
      <c r="F241" s="7"/>
    </row>
    <row r="242" spans="2:6" x14ac:dyDescent="0.2">
      <c r="B242" s="7"/>
      <c r="C242" s="7"/>
      <c r="D242" s="7"/>
      <c r="E242" s="7"/>
      <c r="F242" s="7"/>
    </row>
    <row r="243" spans="2:6" x14ac:dyDescent="0.2">
      <c r="B243" s="7"/>
      <c r="C243" s="7"/>
      <c r="D243" s="7"/>
      <c r="E243" s="7"/>
      <c r="F243" s="7"/>
    </row>
    <row r="244" spans="2:6" x14ac:dyDescent="0.2">
      <c r="B244" s="7"/>
      <c r="C244" s="7"/>
      <c r="D244" s="7"/>
      <c r="E244" s="7"/>
      <c r="F244" s="7"/>
    </row>
    <row r="245" spans="2:6" x14ac:dyDescent="0.2">
      <c r="B245" s="7"/>
      <c r="C245" s="7"/>
      <c r="D245" s="7"/>
      <c r="E245" s="7"/>
      <c r="F245" s="7"/>
    </row>
    <row r="246" spans="2:6" x14ac:dyDescent="0.2">
      <c r="B246" s="7"/>
      <c r="C246" s="7"/>
      <c r="D246" s="7"/>
      <c r="E246" s="7"/>
      <c r="F246" s="7"/>
    </row>
    <row r="247" spans="2:6" x14ac:dyDescent="0.2">
      <c r="B247" s="7"/>
      <c r="C247" s="7"/>
      <c r="D247" s="7"/>
      <c r="E247" s="7"/>
      <c r="F247" s="7"/>
    </row>
    <row r="248" spans="2:6" x14ac:dyDescent="0.2">
      <c r="B248" s="7"/>
      <c r="C248" s="7"/>
      <c r="D248" s="7"/>
      <c r="E248" s="7"/>
      <c r="F248" s="7"/>
    </row>
    <row r="249" spans="2:6" x14ac:dyDescent="0.2">
      <c r="B249" s="7"/>
      <c r="C249" s="7"/>
      <c r="D249" s="7"/>
      <c r="E249" s="7"/>
      <c r="F249" s="7"/>
    </row>
    <row r="250" spans="2:6" x14ac:dyDescent="0.2">
      <c r="B250" s="7"/>
      <c r="C250" s="7"/>
      <c r="D250" s="7"/>
      <c r="E250" s="7"/>
      <c r="F250" s="7"/>
    </row>
    <row r="251" spans="2:6" x14ac:dyDescent="0.2">
      <c r="B251" s="7"/>
      <c r="C251" s="7"/>
      <c r="D251" s="7"/>
      <c r="E251" s="7"/>
      <c r="F251" s="7"/>
    </row>
    <row r="252" spans="2:6" x14ac:dyDescent="0.2">
      <c r="B252" s="7"/>
      <c r="C252" s="7"/>
      <c r="D252" s="7"/>
      <c r="E252" s="7"/>
      <c r="F252" s="7"/>
    </row>
    <row r="253" spans="2:6" x14ac:dyDescent="0.2">
      <c r="B253" s="7"/>
      <c r="C253" s="7"/>
      <c r="D253" s="7"/>
      <c r="E253" s="7"/>
      <c r="F253" s="7"/>
    </row>
    <row r="254" spans="2:6" x14ac:dyDescent="0.2">
      <c r="B254" s="7"/>
      <c r="C254" s="7"/>
      <c r="D254" s="7"/>
      <c r="E254" s="7"/>
      <c r="F254" s="7"/>
    </row>
    <row r="255" spans="2:6" x14ac:dyDescent="0.2">
      <c r="B255" s="7"/>
      <c r="C255" s="7"/>
      <c r="D255" s="7"/>
      <c r="E255" s="7"/>
      <c r="F255" s="7"/>
    </row>
    <row r="256" spans="2:6" x14ac:dyDescent="0.2">
      <c r="B256" s="7"/>
      <c r="C256" s="7"/>
      <c r="D256" s="7"/>
      <c r="E256" s="7"/>
      <c r="F256" s="7"/>
    </row>
    <row r="257" spans="2:6" x14ac:dyDescent="0.2">
      <c r="B257" s="7"/>
      <c r="C257" s="7"/>
      <c r="D257" s="7"/>
      <c r="E257" s="7"/>
      <c r="F257" s="7"/>
    </row>
    <row r="258" spans="2:6" x14ac:dyDescent="0.2">
      <c r="B258" s="7"/>
      <c r="C258" s="7"/>
      <c r="D258" s="7"/>
      <c r="E258" s="7"/>
      <c r="F258" s="7"/>
    </row>
    <row r="259" spans="2:6" x14ac:dyDescent="0.2">
      <c r="B259" s="7"/>
      <c r="C259" s="7"/>
      <c r="D259" s="7"/>
      <c r="E259" s="7"/>
      <c r="F259" s="7"/>
    </row>
    <row r="260" spans="2:6" x14ac:dyDescent="0.2">
      <c r="B260" s="7"/>
      <c r="C260" s="7"/>
      <c r="D260" s="7"/>
      <c r="E260" s="7"/>
      <c r="F260" s="7"/>
    </row>
    <row r="261" spans="2:6" x14ac:dyDescent="0.2">
      <c r="B261" s="7"/>
      <c r="C261" s="7"/>
      <c r="D261" s="7"/>
      <c r="E261" s="7"/>
      <c r="F261" s="7"/>
    </row>
    <row r="262" spans="2:6" x14ac:dyDescent="0.2">
      <c r="B262" s="7"/>
      <c r="C262" s="7"/>
      <c r="D262" s="7"/>
      <c r="E262" s="7"/>
      <c r="F262" s="7"/>
    </row>
    <row r="263" spans="2:6" x14ac:dyDescent="0.2">
      <c r="B263" s="7"/>
      <c r="C263" s="7"/>
      <c r="D263" s="7"/>
      <c r="E263" s="7"/>
      <c r="F263" s="7"/>
    </row>
    <row r="264" spans="2:6" x14ac:dyDescent="0.2">
      <c r="B264" s="7"/>
      <c r="C264" s="7"/>
      <c r="D264" s="7"/>
      <c r="E264" s="7"/>
      <c r="F264" s="7"/>
    </row>
    <row r="265" spans="2:6" x14ac:dyDescent="0.2">
      <c r="B265" s="7"/>
      <c r="C265" s="7"/>
      <c r="D265" s="7"/>
      <c r="E265" s="7"/>
      <c r="F265" s="7"/>
    </row>
    <row r="266" spans="2:6" x14ac:dyDescent="0.2">
      <c r="B266" s="7"/>
      <c r="C266" s="7"/>
      <c r="D266" s="7"/>
      <c r="E266" s="7"/>
      <c r="F266" s="7"/>
    </row>
    <row r="267" spans="2:6" x14ac:dyDescent="0.2">
      <c r="B267" s="7"/>
      <c r="C267" s="7"/>
      <c r="D267" s="7"/>
      <c r="E267" s="7"/>
      <c r="F267" s="7"/>
    </row>
    <row r="268" spans="2:6" x14ac:dyDescent="0.2">
      <c r="B268" s="7"/>
      <c r="C268" s="7"/>
      <c r="D268" s="7"/>
      <c r="E268" s="7"/>
      <c r="F268" s="7"/>
    </row>
    <row r="269" spans="2:6" x14ac:dyDescent="0.2">
      <c r="B269" s="7"/>
      <c r="C269" s="7"/>
      <c r="D269" s="7"/>
      <c r="E269" s="7"/>
      <c r="F269" s="7"/>
    </row>
    <row r="270" spans="2:6" x14ac:dyDescent="0.2">
      <c r="B270" s="7"/>
      <c r="C270" s="7"/>
      <c r="D270" s="7"/>
      <c r="E270" s="7"/>
      <c r="F270" s="7"/>
    </row>
    <row r="271" spans="2:6" x14ac:dyDescent="0.2">
      <c r="B271" s="7"/>
      <c r="C271" s="7"/>
      <c r="D271" s="7"/>
      <c r="E271" s="7"/>
      <c r="F271" s="7"/>
    </row>
    <row r="272" spans="2:6" x14ac:dyDescent="0.2">
      <c r="B272" s="7"/>
      <c r="C272" s="7"/>
      <c r="D272" s="7"/>
      <c r="E272" s="7"/>
      <c r="F272" s="7"/>
    </row>
    <row r="273" spans="2:6" x14ac:dyDescent="0.2">
      <c r="B273" s="7"/>
      <c r="C273" s="7"/>
      <c r="D273" s="7"/>
      <c r="E273" s="7"/>
      <c r="F273" s="7"/>
    </row>
    <row r="274" spans="2:6" x14ac:dyDescent="0.2">
      <c r="B274" s="7"/>
      <c r="C274" s="7"/>
      <c r="D274" s="7"/>
      <c r="E274" s="7"/>
      <c r="F274" s="7"/>
    </row>
    <row r="275" spans="2:6" x14ac:dyDescent="0.2">
      <c r="B275" s="7"/>
      <c r="C275" s="7"/>
      <c r="D275" s="7"/>
      <c r="E275" s="7"/>
      <c r="F275" s="7"/>
    </row>
    <row r="276" spans="2:6" x14ac:dyDescent="0.2">
      <c r="B276" s="7"/>
      <c r="C276" s="7"/>
      <c r="D276" s="7"/>
      <c r="E276" s="7"/>
      <c r="F276" s="7"/>
    </row>
    <row r="277" spans="2:6" x14ac:dyDescent="0.2">
      <c r="B277" s="7"/>
      <c r="C277" s="7"/>
      <c r="D277" s="7"/>
      <c r="E277" s="7"/>
      <c r="F277" s="7"/>
    </row>
    <row r="278" spans="2:6" x14ac:dyDescent="0.2">
      <c r="B278" s="7"/>
      <c r="C278" s="7"/>
      <c r="D278" s="7"/>
      <c r="E278" s="7"/>
      <c r="F278" s="7"/>
    </row>
    <row r="279" spans="2:6" x14ac:dyDescent="0.2">
      <c r="B279" s="7"/>
      <c r="C279" s="7"/>
      <c r="D279" s="7"/>
      <c r="E279" s="7"/>
      <c r="F279" s="7"/>
    </row>
    <row r="280" spans="2:6" x14ac:dyDescent="0.2">
      <c r="B280" s="7"/>
      <c r="C280" s="7"/>
      <c r="D280" s="7"/>
      <c r="E280" s="7"/>
      <c r="F280" s="7"/>
    </row>
    <row r="281" spans="2:6" x14ac:dyDescent="0.2">
      <c r="B281" s="7"/>
      <c r="C281" s="7"/>
      <c r="D281" s="7"/>
      <c r="E281" s="7"/>
      <c r="F281" s="7"/>
    </row>
    <row r="282" spans="2:6" x14ac:dyDescent="0.2">
      <c r="B282" s="7"/>
      <c r="C282" s="7"/>
      <c r="D282" s="7"/>
      <c r="E282" s="7"/>
      <c r="F282" s="7"/>
    </row>
    <row r="283" spans="2:6" x14ac:dyDescent="0.2">
      <c r="B283" s="7"/>
      <c r="C283" s="7"/>
      <c r="D283" s="7"/>
      <c r="E283" s="7"/>
      <c r="F283" s="7"/>
    </row>
    <row r="284" spans="2:6" x14ac:dyDescent="0.2">
      <c r="B284" s="7"/>
      <c r="C284" s="7"/>
      <c r="D284" s="7"/>
      <c r="E284" s="7"/>
      <c r="F284" s="7"/>
    </row>
    <row r="285" spans="2:6" x14ac:dyDescent="0.2">
      <c r="B285" s="7"/>
      <c r="C285" s="7"/>
      <c r="D285" s="7"/>
      <c r="E285" s="7"/>
      <c r="F285" s="7"/>
    </row>
    <row r="286" spans="2:6" x14ac:dyDescent="0.2">
      <c r="B286" s="7"/>
      <c r="C286" s="7"/>
      <c r="D286" s="7"/>
      <c r="E286" s="7"/>
      <c r="F286" s="7"/>
    </row>
    <row r="287" spans="2:6" x14ac:dyDescent="0.2">
      <c r="B287" s="7"/>
      <c r="C287" s="7"/>
      <c r="D287" s="7"/>
      <c r="E287" s="7"/>
      <c r="F287" s="7"/>
    </row>
    <row r="288" spans="2:6" x14ac:dyDescent="0.2">
      <c r="B288" s="7"/>
      <c r="C288" s="7"/>
      <c r="D288" s="7"/>
      <c r="E288" s="7"/>
      <c r="F288" s="7"/>
    </row>
    <row r="289" spans="2:6" x14ac:dyDescent="0.2">
      <c r="B289" s="7"/>
      <c r="C289" s="7"/>
      <c r="D289" s="7"/>
      <c r="E289" s="7"/>
      <c r="F289" s="7"/>
    </row>
    <row r="290" spans="2:6" x14ac:dyDescent="0.2">
      <c r="B290" s="7"/>
      <c r="C290" s="7"/>
      <c r="D290" s="7"/>
      <c r="E290" s="7"/>
      <c r="F290" s="7"/>
    </row>
    <row r="291" spans="2:6" x14ac:dyDescent="0.2">
      <c r="B291" s="7"/>
      <c r="C291" s="7"/>
      <c r="D291" s="7"/>
      <c r="E291" s="7"/>
      <c r="F291" s="7"/>
    </row>
    <row r="292" spans="2:6" x14ac:dyDescent="0.2">
      <c r="B292" s="7"/>
      <c r="C292" s="7"/>
      <c r="D292" s="7"/>
      <c r="E292" s="7"/>
      <c r="F292" s="7"/>
    </row>
    <row r="293" spans="2:6" x14ac:dyDescent="0.2">
      <c r="B293" s="7"/>
      <c r="C293" s="7"/>
      <c r="D293" s="7"/>
      <c r="E293" s="7"/>
      <c r="F293" s="7"/>
    </row>
    <row r="294" spans="2:6" x14ac:dyDescent="0.2">
      <c r="B294" s="7"/>
      <c r="C294" s="7"/>
      <c r="D294" s="7"/>
      <c r="E294" s="7"/>
      <c r="F294" s="7"/>
    </row>
    <row r="295" spans="2:6" x14ac:dyDescent="0.2">
      <c r="B295" s="7"/>
      <c r="C295" s="7"/>
      <c r="D295" s="7"/>
      <c r="E295" s="7"/>
      <c r="F295" s="7"/>
    </row>
    <row r="296" spans="2:6" x14ac:dyDescent="0.2">
      <c r="B296" s="7"/>
      <c r="C296" s="7"/>
      <c r="D296" s="7"/>
      <c r="E296" s="7"/>
      <c r="F296" s="7"/>
    </row>
    <row r="297" spans="2:6" x14ac:dyDescent="0.2">
      <c r="B297" s="7"/>
      <c r="C297" s="7"/>
      <c r="D297" s="7"/>
      <c r="E297" s="7"/>
      <c r="F297" s="7"/>
    </row>
    <row r="298" spans="2:6" x14ac:dyDescent="0.2">
      <c r="B298" s="7"/>
      <c r="C298" s="7"/>
      <c r="D298" s="7"/>
      <c r="E298" s="7"/>
      <c r="F298" s="7"/>
    </row>
    <row r="299" spans="2:6" x14ac:dyDescent="0.2">
      <c r="B299" s="7"/>
      <c r="C299" s="7"/>
      <c r="D299" s="7"/>
      <c r="E299" s="7"/>
      <c r="F299" s="7"/>
    </row>
    <row r="300" spans="2:6" x14ac:dyDescent="0.2">
      <c r="B300" s="7"/>
      <c r="C300" s="7"/>
      <c r="D300" s="7"/>
      <c r="E300" s="7"/>
      <c r="F300" s="7"/>
    </row>
    <row r="301" spans="2:6" x14ac:dyDescent="0.2">
      <c r="B301" s="7"/>
      <c r="C301" s="7"/>
      <c r="D301" s="7"/>
      <c r="E301" s="7"/>
      <c r="F301" s="7"/>
    </row>
    <row r="302" spans="2:6" x14ac:dyDescent="0.2">
      <c r="B302" s="7"/>
      <c r="C302" s="7"/>
      <c r="D302" s="7"/>
      <c r="E302" s="7"/>
      <c r="F302" s="7"/>
    </row>
    <row r="303" spans="2:6" x14ac:dyDescent="0.2">
      <c r="B303" s="7"/>
      <c r="C303" s="7"/>
      <c r="D303" s="7"/>
      <c r="E303" s="7"/>
      <c r="F303" s="7"/>
    </row>
    <row r="304" spans="2:6" x14ac:dyDescent="0.2">
      <c r="B304" s="7"/>
      <c r="C304" s="7"/>
      <c r="D304" s="7"/>
      <c r="E304" s="7"/>
      <c r="F304" s="7"/>
    </row>
    <row r="305" spans="2:6" x14ac:dyDescent="0.2">
      <c r="B305" s="7"/>
      <c r="C305" s="7"/>
      <c r="D305" s="7"/>
      <c r="E305" s="7"/>
      <c r="F305" s="7"/>
    </row>
    <row r="306" spans="2:6" x14ac:dyDescent="0.2">
      <c r="B306" s="7"/>
      <c r="C306" s="7"/>
      <c r="D306" s="7"/>
      <c r="E306" s="7"/>
      <c r="F306" s="7"/>
    </row>
    <row r="307" spans="2:6" x14ac:dyDescent="0.2">
      <c r="B307" s="7"/>
      <c r="C307" s="7"/>
      <c r="D307" s="7"/>
      <c r="E307" s="7"/>
      <c r="F307" s="7"/>
    </row>
    <row r="308" spans="2:6" x14ac:dyDescent="0.2">
      <c r="B308" s="7"/>
      <c r="C308" s="7"/>
      <c r="D308" s="7"/>
      <c r="E308" s="7"/>
      <c r="F308" s="7"/>
    </row>
    <row r="309" spans="2:6" x14ac:dyDescent="0.2">
      <c r="B309" s="7"/>
      <c r="C309" s="7"/>
      <c r="D309" s="7"/>
      <c r="E309" s="7"/>
      <c r="F309" s="7"/>
    </row>
    <row r="310" spans="2:6" x14ac:dyDescent="0.2">
      <c r="B310" s="7"/>
      <c r="C310" s="7"/>
      <c r="D310" s="7"/>
      <c r="E310" s="7"/>
      <c r="F310" s="7"/>
    </row>
    <row r="311" spans="2:6" x14ac:dyDescent="0.2">
      <c r="B311" s="7"/>
      <c r="C311" s="7"/>
      <c r="D311" s="7"/>
      <c r="E311" s="7"/>
      <c r="F311" s="7"/>
    </row>
    <row r="312" spans="2:6" x14ac:dyDescent="0.2">
      <c r="B312" s="7"/>
      <c r="C312" s="7"/>
      <c r="D312" s="7"/>
      <c r="E312" s="7"/>
      <c r="F312" s="7"/>
    </row>
    <row r="313" spans="2:6" x14ac:dyDescent="0.2">
      <c r="B313" s="7"/>
      <c r="C313" s="7"/>
      <c r="D313" s="7"/>
      <c r="E313" s="7"/>
      <c r="F313" s="7"/>
    </row>
    <row r="314" spans="2:6" x14ac:dyDescent="0.2">
      <c r="B314" s="7"/>
      <c r="C314" s="7"/>
      <c r="D314" s="7"/>
      <c r="E314" s="7"/>
      <c r="F314" s="7"/>
    </row>
    <row r="315" spans="2:6" x14ac:dyDescent="0.2">
      <c r="B315" s="7"/>
      <c r="C315" s="7"/>
      <c r="D315" s="7"/>
      <c r="E315" s="7"/>
      <c r="F315" s="7"/>
    </row>
    <row r="316" spans="2:6" x14ac:dyDescent="0.2">
      <c r="B316" s="7"/>
      <c r="C316" s="7"/>
      <c r="D316" s="7"/>
      <c r="E316" s="7"/>
      <c r="F316" s="7"/>
    </row>
    <row r="317" spans="2:6" x14ac:dyDescent="0.2">
      <c r="B317" s="7"/>
      <c r="C317" s="7"/>
      <c r="D317" s="7"/>
      <c r="E317" s="7"/>
      <c r="F317" s="7"/>
    </row>
    <row r="318" spans="2:6" x14ac:dyDescent="0.2">
      <c r="B318" s="7"/>
      <c r="C318" s="7"/>
      <c r="D318" s="7"/>
      <c r="E318" s="7"/>
      <c r="F318" s="7"/>
    </row>
    <row r="319" spans="2:6" x14ac:dyDescent="0.2">
      <c r="B319" s="7"/>
      <c r="C319" s="7"/>
      <c r="D319" s="7"/>
      <c r="E319" s="7"/>
      <c r="F319" s="7"/>
    </row>
    <row r="320" spans="2:6" x14ac:dyDescent="0.2">
      <c r="B320" s="7"/>
      <c r="C320" s="7"/>
      <c r="D320" s="7"/>
      <c r="E320" s="7"/>
      <c r="F320" s="7"/>
    </row>
    <row r="321" spans="2:6" x14ac:dyDescent="0.2">
      <c r="B321" s="7"/>
      <c r="C321" s="7"/>
      <c r="D321" s="7"/>
      <c r="E321" s="7"/>
      <c r="F321" s="7"/>
    </row>
    <row r="322" spans="2:6" x14ac:dyDescent="0.2">
      <c r="B322" s="7"/>
      <c r="C322" s="7"/>
      <c r="D322" s="7"/>
      <c r="E322" s="7"/>
      <c r="F322" s="7"/>
    </row>
    <row r="323" spans="2:6" x14ac:dyDescent="0.2">
      <c r="B323" s="7"/>
      <c r="C323" s="7"/>
      <c r="D323" s="7"/>
      <c r="E323" s="7"/>
      <c r="F323" s="7"/>
    </row>
    <row r="324" spans="2:6" x14ac:dyDescent="0.2">
      <c r="B324" s="7"/>
      <c r="C324" s="7"/>
      <c r="D324" s="7"/>
      <c r="E324" s="7"/>
      <c r="F324" s="7"/>
    </row>
    <row r="325" spans="2:6" x14ac:dyDescent="0.2">
      <c r="B325" s="7"/>
      <c r="C325" s="7"/>
      <c r="D325" s="7"/>
      <c r="E325" s="7"/>
      <c r="F325" s="7"/>
    </row>
    <row r="326" spans="2:6" x14ac:dyDescent="0.2">
      <c r="B326" s="7"/>
      <c r="C326" s="7"/>
      <c r="D326" s="7"/>
      <c r="E326" s="7"/>
      <c r="F326" s="7"/>
    </row>
    <row r="327" spans="2:6" x14ac:dyDescent="0.2">
      <c r="B327" s="7"/>
      <c r="C327" s="7"/>
      <c r="D327" s="7"/>
      <c r="E327" s="7"/>
      <c r="F327" s="7"/>
    </row>
    <row r="328" spans="2:6" x14ac:dyDescent="0.2">
      <c r="B328" s="7"/>
      <c r="C328" s="7"/>
      <c r="D328" s="7"/>
      <c r="E328" s="7"/>
      <c r="F328" s="7"/>
    </row>
    <row r="329" spans="2:6" x14ac:dyDescent="0.2">
      <c r="B329" s="7"/>
      <c r="C329" s="7"/>
      <c r="D329" s="7"/>
      <c r="E329" s="7"/>
      <c r="F329" s="7"/>
    </row>
    <row r="330" spans="2:6" x14ac:dyDescent="0.2">
      <c r="B330" s="7"/>
      <c r="C330" s="7"/>
      <c r="D330" s="7"/>
      <c r="E330" s="7"/>
      <c r="F330" s="7"/>
    </row>
    <row r="331" spans="2:6" x14ac:dyDescent="0.2">
      <c r="B331" s="7"/>
      <c r="C331" s="7"/>
      <c r="D331" s="7"/>
      <c r="E331" s="7"/>
      <c r="F331" s="7"/>
    </row>
    <row r="332" spans="2:6" x14ac:dyDescent="0.2">
      <c r="B332" s="7"/>
      <c r="C332" s="7"/>
      <c r="D332" s="7"/>
      <c r="E332" s="7"/>
      <c r="F332" s="7"/>
    </row>
    <row r="333" spans="2:6" x14ac:dyDescent="0.2">
      <c r="B333" s="7"/>
      <c r="C333" s="7"/>
      <c r="D333" s="7"/>
      <c r="E333" s="7"/>
      <c r="F333" s="7"/>
    </row>
    <row r="334" spans="2:6" x14ac:dyDescent="0.2">
      <c r="B334" s="7"/>
      <c r="C334" s="7"/>
      <c r="D334" s="7"/>
      <c r="E334" s="7"/>
      <c r="F334" s="7"/>
    </row>
    <row r="335" spans="2:6" x14ac:dyDescent="0.2">
      <c r="B335" s="7"/>
      <c r="C335" s="7"/>
      <c r="D335" s="7"/>
      <c r="E335" s="7"/>
      <c r="F335" s="7"/>
    </row>
    <row r="336" spans="2:6" x14ac:dyDescent="0.2">
      <c r="B336" s="7"/>
      <c r="C336" s="7"/>
      <c r="D336" s="7"/>
      <c r="E336" s="7"/>
      <c r="F336" s="7"/>
    </row>
    <row r="337" spans="2:6" x14ac:dyDescent="0.2">
      <c r="B337" s="7"/>
      <c r="C337" s="7"/>
      <c r="D337" s="7"/>
      <c r="E337" s="7"/>
      <c r="F337" s="7"/>
    </row>
    <row r="338" spans="2:6" x14ac:dyDescent="0.2">
      <c r="B338" s="7"/>
      <c r="C338" s="7"/>
      <c r="D338" s="7"/>
      <c r="E338" s="7"/>
      <c r="F338" s="7"/>
    </row>
    <row r="339" spans="2:6" x14ac:dyDescent="0.2">
      <c r="B339" s="7"/>
      <c r="C339" s="7"/>
      <c r="D339" s="7"/>
      <c r="E339" s="7"/>
      <c r="F339" s="7"/>
    </row>
    <row r="340" spans="2:6" x14ac:dyDescent="0.2">
      <c r="B340" s="7"/>
      <c r="C340" s="7"/>
      <c r="D340" s="7"/>
      <c r="E340" s="7"/>
      <c r="F340" s="7"/>
    </row>
    <row r="341" spans="2:6" x14ac:dyDescent="0.2">
      <c r="B341" s="7"/>
      <c r="C341" s="7"/>
      <c r="D341" s="7"/>
      <c r="E341" s="7"/>
      <c r="F341" s="7"/>
    </row>
    <row r="342" spans="2:6" x14ac:dyDescent="0.2">
      <c r="B342" s="7"/>
      <c r="C342" s="7"/>
      <c r="D342" s="7"/>
      <c r="E342" s="7"/>
      <c r="F342" s="7"/>
    </row>
    <row r="343" spans="2:6" x14ac:dyDescent="0.2">
      <c r="B343" s="7"/>
      <c r="C343" s="7"/>
      <c r="D343" s="7"/>
      <c r="E343" s="7"/>
      <c r="F343" s="7"/>
    </row>
    <row r="344" spans="2:6" x14ac:dyDescent="0.2">
      <c r="B344" s="7"/>
      <c r="C344" s="7"/>
      <c r="D344" s="7"/>
      <c r="E344" s="7"/>
      <c r="F344" s="7"/>
    </row>
    <row r="345" spans="2:6" x14ac:dyDescent="0.2">
      <c r="B345" s="7"/>
      <c r="C345" s="7"/>
      <c r="D345" s="7"/>
      <c r="E345" s="7"/>
      <c r="F345" s="7"/>
    </row>
    <row r="346" spans="2:6" x14ac:dyDescent="0.2">
      <c r="B346" s="7"/>
      <c r="C346" s="7"/>
      <c r="D346" s="7"/>
      <c r="E346" s="7"/>
      <c r="F346" s="7"/>
    </row>
    <row r="347" spans="2:6" x14ac:dyDescent="0.2">
      <c r="B347" s="7"/>
      <c r="C347" s="7"/>
      <c r="D347" s="7"/>
      <c r="E347" s="7"/>
      <c r="F347" s="7"/>
    </row>
    <row r="348" spans="2:6" x14ac:dyDescent="0.2">
      <c r="B348" s="7"/>
      <c r="C348" s="7"/>
      <c r="D348" s="7"/>
      <c r="E348" s="7"/>
      <c r="F348" s="7"/>
    </row>
    <row r="349" spans="2:6" x14ac:dyDescent="0.2">
      <c r="B349" s="7"/>
      <c r="C349" s="7"/>
      <c r="D349" s="7"/>
      <c r="E349" s="7"/>
      <c r="F349" s="7"/>
    </row>
    <row r="350" spans="2:6" x14ac:dyDescent="0.2">
      <c r="B350" s="7"/>
      <c r="C350" s="7"/>
      <c r="D350" s="7"/>
      <c r="E350" s="7"/>
      <c r="F350" s="7"/>
    </row>
    <row r="351" spans="2:6" x14ac:dyDescent="0.2">
      <c r="B351" s="7"/>
      <c r="C351" s="7"/>
      <c r="D351" s="7"/>
      <c r="E351" s="7"/>
      <c r="F351" s="7"/>
    </row>
    <row r="352" spans="2:6" x14ac:dyDescent="0.2">
      <c r="B352" s="7"/>
      <c r="C352" s="7"/>
      <c r="D352" s="7"/>
      <c r="E352" s="7"/>
      <c r="F352" s="7"/>
    </row>
    <row r="353" spans="2:6" x14ac:dyDescent="0.2">
      <c r="B353" s="7"/>
      <c r="C353" s="7"/>
      <c r="D353" s="7"/>
      <c r="E353" s="7"/>
      <c r="F353" s="7"/>
    </row>
    <row r="354" spans="2:6" x14ac:dyDescent="0.2">
      <c r="B354" s="7"/>
      <c r="C354" s="7"/>
      <c r="D354" s="7"/>
      <c r="E354" s="7"/>
      <c r="F354" s="7"/>
    </row>
    <row r="355" spans="2:6" x14ac:dyDescent="0.2">
      <c r="B355" s="7"/>
      <c r="C355" s="7"/>
      <c r="D355" s="7"/>
      <c r="E355" s="7"/>
      <c r="F355" s="7"/>
    </row>
    <row r="356" spans="2:6" x14ac:dyDescent="0.2">
      <c r="B356" s="7"/>
      <c r="C356" s="7"/>
      <c r="D356" s="7"/>
      <c r="E356" s="7"/>
      <c r="F356" s="7"/>
    </row>
    <row r="357" spans="2:6" x14ac:dyDescent="0.2">
      <c r="B357" s="7"/>
      <c r="C357" s="7"/>
      <c r="D357" s="7"/>
      <c r="E357" s="7"/>
      <c r="F357" s="7"/>
    </row>
    <row r="358" spans="2:6" x14ac:dyDescent="0.2">
      <c r="B358" s="7"/>
      <c r="C358" s="7"/>
      <c r="D358" s="7"/>
      <c r="E358" s="7"/>
      <c r="F358" s="7"/>
    </row>
    <row r="359" spans="2:6" x14ac:dyDescent="0.2">
      <c r="B359" s="7"/>
      <c r="C359" s="7"/>
      <c r="D359" s="7"/>
      <c r="E359" s="7"/>
      <c r="F359" s="7"/>
    </row>
    <row r="360" spans="2:6" x14ac:dyDescent="0.2">
      <c r="B360" s="7"/>
      <c r="C360" s="7"/>
      <c r="D360" s="7"/>
      <c r="E360" s="7"/>
      <c r="F360" s="7"/>
    </row>
    <row r="361" spans="2:6" x14ac:dyDescent="0.2">
      <c r="B361" s="7"/>
      <c r="C361" s="7"/>
      <c r="D361" s="7"/>
      <c r="E361" s="7"/>
      <c r="F361" s="7"/>
    </row>
    <row r="362" spans="2:6" x14ac:dyDescent="0.2">
      <c r="B362" s="7"/>
      <c r="C362" s="7"/>
      <c r="D362" s="7"/>
      <c r="E362" s="7"/>
      <c r="F362" s="7"/>
    </row>
    <row r="363" spans="2:6" x14ac:dyDescent="0.2">
      <c r="B363" s="7"/>
      <c r="C363" s="7"/>
      <c r="D363" s="7"/>
      <c r="E363" s="7"/>
      <c r="F363" s="7"/>
    </row>
    <row r="364" spans="2:6" x14ac:dyDescent="0.2">
      <c r="B364" s="7"/>
      <c r="C364" s="7"/>
      <c r="D364" s="7"/>
      <c r="E364" s="7"/>
      <c r="F364" s="7"/>
    </row>
    <row r="365" spans="2:6" x14ac:dyDescent="0.2">
      <c r="B365" s="7"/>
      <c r="C365" s="7"/>
      <c r="D365" s="7"/>
      <c r="E365" s="7"/>
      <c r="F365" s="7"/>
    </row>
    <row r="366" spans="2:6" x14ac:dyDescent="0.2">
      <c r="B366" s="7"/>
      <c r="C366" s="7"/>
      <c r="D366" s="7"/>
      <c r="E366" s="7"/>
      <c r="F366" s="7"/>
    </row>
    <row r="367" spans="2:6" x14ac:dyDescent="0.2">
      <c r="B367" s="7"/>
      <c r="C367" s="7"/>
      <c r="D367" s="7"/>
      <c r="E367" s="7"/>
      <c r="F367" s="7"/>
    </row>
    <row r="368" spans="2:6" x14ac:dyDescent="0.2">
      <c r="B368" s="7"/>
      <c r="C368" s="7"/>
      <c r="D368" s="7"/>
      <c r="E368" s="7"/>
      <c r="F368" s="7"/>
    </row>
    <row r="369" spans="2:6" x14ac:dyDescent="0.2">
      <c r="B369" s="7"/>
      <c r="C369" s="7"/>
      <c r="D369" s="7"/>
      <c r="E369" s="7"/>
      <c r="F369" s="7"/>
    </row>
    <row r="370" spans="2:6" x14ac:dyDescent="0.2">
      <c r="B370" s="7"/>
      <c r="C370" s="7"/>
      <c r="D370" s="7"/>
      <c r="E370" s="7"/>
      <c r="F370" s="7"/>
    </row>
    <row r="371" spans="2:6" x14ac:dyDescent="0.2">
      <c r="B371" s="7"/>
      <c r="C371" s="7"/>
      <c r="D371" s="7"/>
      <c r="E371" s="7"/>
      <c r="F371" s="7"/>
    </row>
    <row r="372" spans="2:6" x14ac:dyDescent="0.2">
      <c r="B372" s="7"/>
      <c r="C372" s="7"/>
      <c r="D372" s="7"/>
      <c r="E372" s="7"/>
      <c r="F372" s="7"/>
    </row>
    <row r="373" spans="2:6" x14ac:dyDescent="0.2">
      <c r="B373" s="7"/>
      <c r="C373" s="7"/>
      <c r="D373" s="7"/>
      <c r="E373" s="7"/>
      <c r="F373" s="7"/>
    </row>
    <row r="374" spans="2:6" x14ac:dyDescent="0.2">
      <c r="B374" s="7"/>
      <c r="C374" s="7"/>
      <c r="D374" s="7"/>
      <c r="E374" s="7"/>
      <c r="F374" s="7"/>
    </row>
    <row r="375" spans="2:6" x14ac:dyDescent="0.2">
      <c r="B375" s="7"/>
      <c r="C375" s="7"/>
      <c r="D375" s="7"/>
      <c r="E375" s="7"/>
      <c r="F375" s="7"/>
    </row>
    <row r="376" spans="2:6" x14ac:dyDescent="0.2">
      <c r="B376" s="7"/>
      <c r="C376" s="7"/>
      <c r="D376" s="7"/>
      <c r="E376" s="7"/>
      <c r="F376" s="7"/>
    </row>
    <row r="377" spans="2:6" x14ac:dyDescent="0.2">
      <c r="B377" s="7"/>
      <c r="C377" s="7"/>
      <c r="D377" s="7"/>
      <c r="E377" s="7"/>
      <c r="F377" s="7"/>
    </row>
    <row r="378" spans="2:6" x14ac:dyDescent="0.2">
      <c r="B378" s="7"/>
      <c r="C378" s="7"/>
      <c r="D378" s="7"/>
      <c r="E378" s="7"/>
      <c r="F378" s="7"/>
    </row>
    <row r="379" spans="2:6" x14ac:dyDescent="0.2">
      <c r="B379" s="7"/>
      <c r="C379" s="7"/>
      <c r="D379" s="7"/>
      <c r="E379" s="7"/>
      <c r="F379" s="7"/>
    </row>
    <row r="380" spans="2:6" x14ac:dyDescent="0.2">
      <c r="B380" s="7"/>
      <c r="C380" s="7"/>
      <c r="D380" s="7"/>
      <c r="E380" s="7"/>
      <c r="F380" s="7"/>
    </row>
    <row r="381" spans="2:6" x14ac:dyDescent="0.2">
      <c r="B381" s="7"/>
      <c r="C381" s="7"/>
      <c r="D381" s="7"/>
      <c r="E381" s="7"/>
      <c r="F381" s="7"/>
    </row>
    <row r="382" spans="2:6" x14ac:dyDescent="0.2">
      <c r="B382" s="7"/>
      <c r="C382" s="7"/>
      <c r="D382" s="7"/>
      <c r="E382" s="7"/>
      <c r="F382" s="7"/>
    </row>
    <row r="383" spans="2:6" x14ac:dyDescent="0.2">
      <c r="B383" s="7"/>
      <c r="C383" s="7"/>
      <c r="D383" s="7"/>
      <c r="E383" s="7"/>
      <c r="F383" s="7"/>
    </row>
    <row r="384" spans="2:6" x14ac:dyDescent="0.2">
      <c r="B384" s="7"/>
      <c r="C384" s="7"/>
      <c r="D384" s="7"/>
      <c r="E384" s="7"/>
      <c r="F384" s="7"/>
    </row>
    <row r="385" spans="2:6" x14ac:dyDescent="0.2">
      <c r="B385" s="7"/>
      <c r="C385" s="7"/>
      <c r="D385" s="7"/>
      <c r="E385" s="7"/>
      <c r="F385" s="7"/>
    </row>
    <row r="386" spans="2:6" x14ac:dyDescent="0.2">
      <c r="B386" s="7"/>
      <c r="C386" s="7"/>
      <c r="D386" s="7"/>
      <c r="E386" s="7"/>
      <c r="F386" s="7"/>
    </row>
    <row r="387" spans="2:6" x14ac:dyDescent="0.2">
      <c r="B387" s="7"/>
      <c r="C387" s="7"/>
      <c r="D387" s="7"/>
      <c r="E387" s="7"/>
      <c r="F387" s="7"/>
    </row>
    <row r="388" spans="2:6" x14ac:dyDescent="0.2">
      <c r="B388" s="7"/>
      <c r="C388" s="7"/>
      <c r="D388" s="7"/>
      <c r="E388" s="7"/>
      <c r="F388" s="7"/>
    </row>
    <row r="389" spans="2:6" x14ac:dyDescent="0.2">
      <c r="B389" s="7"/>
      <c r="C389" s="7"/>
      <c r="D389" s="7"/>
      <c r="E389" s="7"/>
      <c r="F389" s="7"/>
    </row>
    <row r="390" spans="2:6" x14ac:dyDescent="0.2">
      <c r="B390" s="7"/>
      <c r="C390" s="7"/>
      <c r="D390" s="7"/>
      <c r="E390" s="7"/>
      <c r="F390" s="7"/>
    </row>
    <row r="391" spans="2:6" x14ac:dyDescent="0.2">
      <c r="B391" s="7"/>
      <c r="C391" s="7"/>
      <c r="D391" s="7"/>
      <c r="E391" s="7"/>
      <c r="F391" s="7"/>
    </row>
    <row r="392" spans="2:6" x14ac:dyDescent="0.2">
      <c r="B392" s="7"/>
      <c r="C392" s="7"/>
      <c r="D392" s="7"/>
      <c r="E392" s="7"/>
      <c r="F392" s="7"/>
    </row>
    <row r="393" spans="2:6" x14ac:dyDescent="0.2">
      <c r="B393" s="7"/>
      <c r="C393" s="7"/>
      <c r="D393" s="7"/>
      <c r="E393" s="7"/>
      <c r="F393" s="7"/>
    </row>
    <row r="394" spans="2:6" x14ac:dyDescent="0.2">
      <c r="B394" s="7"/>
      <c r="C394" s="7"/>
      <c r="D394" s="7"/>
      <c r="E394" s="7"/>
      <c r="F394" s="7"/>
    </row>
    <row r="395" spans="2:6" x14ac:dyDescent="0.2">
      <c r="B395" s="7"/>
      <c r="C395" s="7"/>
      <c r="D395" s="7"/>
      <c r="E395" s="7"/>
      <c r="F395" s="7"/>
    </row>
    <row r="396" spans="2:6" x14ac:dyDescent="0.2">
      <c r="B396" s="7"/>
      <c r="C396" s="7"/>
      <c r="D396" s="7"/>
      <c r="E396" s="7"/>
      <c r="F396" s="7"/>
    </row>
    <row r="397" spans="2:6" x14ac:dyDescent="0.2">
      <c r="B397" s="7"/>
      <c r="C397" s="7"/>
      <c r="D397" s="7"/>
      <c r="E397" s="7"/>
      <c r="F397" s="7"/>
    </row>
    <row r="398" spans="2:6" x14ac:dyDescent="0.2">
      <c r="B398" s="7"/>
      <c r="C398" s="7"/>
      <c r="D398" s="7"/>
      <c r="E398" s="7"/>
      <c r="F398" s="7"/>
    </row>
    <row r="399" spans="2:6" x14ac:dyDescent="0.2">
      <c r="B399" s="7"/>
      <c r="C399" s="7"/>
      <c r="D399" s="7"/>
      <c r="E399" s="7"/>
      <c r="F399" s="7"/>
    </row>
    <row r="400" spans="2:6" x14ac:dyDescent="0.2">
      <c r="B400" s="7"/>
      <c r="C400" s="7"/>
      <c r="D400" s="7"/>
      <c r="E400" s="7"/>
      <c r="F400" s="7"/>
    </row>
    <row r="401" spans="2:6" x14ac:dyDescent="0.2">
      <c r="B401" s="7"/>
      <c r="C401" s="7"/>
      <c r="D401" s="7"/>
      <c r="E401" s="7"/>
      <c r="F401" s="7"/>
    </row>
    <row r="402" spans="2:6" x14ac:dyDescent="0.2">
      <c r="B402" s="7"/>
      <c r="C402" s="7"/>
      <c r="D402" s="7"/>
      <c r="E402" s="7"/>
      <c r="F402" s="7"/>
    </row>
    <row r="403" spans="2:6" x14ac:dyDescent="0.2">
      <c r="B403" s="7"/>
      <c r="C403" s="7"/>
      <c r="D403" s="7"/>
      <c r="E403" s="7"/>
      <c r="F403" s="7"/>
    </row>
    <row r="404" spans="2:6" x14ac:dyDescent="0.2">
      <c r="B404" s="7"/>
      <c r="C404" s="7"/>
      <c r="D404" s="7"/>
      <c r="E404" s="7"/>
      <c r="F404" s="7"/>
    </row>
    <row r="405" spans="2:6" x14ac:dyDescent="0.2">
      <c r="B405" s="7"/>
      <c r="C405" s="7"/>
      <c r="D405" s="7"/>
      <c r="E405" s="7"/>
      <c r="F405" s="7"/>
    </row>
    <row r="406" spans="2:6" x14ac:dyDescent="0.2">
      <c r="B406" s="7"/>
      <c r="C406" s="7"/>
      <c r="D406" s="7"/>
      <c r="E406" s="7"/>
      <c r="F406" s="7"/>
    </row>
    <row r="407" spans="2:6" x14ac:dyDescent="0.2">
      <c r="B407" s="7"/>
      <c r="C407" s="7"/>
      <c r="D407" s="7"/>
      <c r="E407" s="7"/>
      <c r="F407" s="7"/>
    </row>
    <row r="408" spans="2:6" x14ac:dyDescent="0.2">
      <c r="B408" s="7"/>
      <c r="C408" s="7"/>
      <c r="D408" s="7"/>
      <c r="E408" s="7"/>
      <c r="F408" s="7"/>
    </row>
  </sheetData>
  <mergeCells count="9">
    <mergeCell ref="A73:A74"/>
    <mergeCell ref="A2:N2"/>
    <mergeCell ref="A1:G1"/>
    <mergeCell ref="A66:A67"/>
    <mergeCell ref="A68:A69"/>
    <mergeCell ref="A70:A71"/>
    <mergeCell ref="H66:H67"/>
    <mergeCell ref="H68:H69"/>
    <mergeCell ref="H70:H71"/>
  </mergeCells>
  <phoneticPr fontId="8" type="noConversion"/>
  <printOptions horizontalCentered="1"/>
  <pageMargins left="0.15748031496062992" right="0.15748031496062992" top="0.39370078740157483" bottom="0.51181102362204722" header="0.51181102362204722" footer="0.51181102362204722"/>
  <pageSetup paperSize="9" scale="5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seplag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m380330</dc:creator>
  <cp:lastModifiedBy>Francisco Alves de Oliveira Júnior (SEPLAG)</cp:lastModifiedBy>
  <cp:lastPrinted>2017-10-04T20:27:58Z</cp:lastPrinted>
  <dcterms:created xsi:type="dcterms:W3CDTF">2008-09-23T11:39:17Z</dcterms:created>
  <dcterms:modified xsi:type="dcterms:W3CDTF">2019-01-09T18:22:40Z</dcterms:modified>
</cp:coreProperties>
</file>