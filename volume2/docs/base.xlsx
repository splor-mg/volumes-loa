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2755" windowHeight="9690" activeTab="1"/>
  </bookViews>
  <sheets>
    <sheet name="base" sheetId="1" r:id="rId1"/>
    <sheet name="Plan1" sheetId="2" r:id="rId2"/>
  </sheets>
  <definedNames>
    <definedName name="_xlnm._FilterDatabase" localSheetId="0" hidden="1">base!$A$1:$G$334</definedName>
    <definedName name="_xlnm._FilterDatabase" localSheetId="1" hidden="1">Plan1!$B$2:$K$114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F4" i="2" l="1"/>
  <c r="K4" i="2" s="1"/>
  <c r="F5" i="2"/>
  <c r="K5" i="2" s="1"/>
  <c r="F6" i="2"/>
  <c r="K6" i="2" s="1"/>
  <c r="F7" i="2"/>
  <c r="K7" i="2" s="1"/>
  <c r="F8" i="2"/>
  <c r="K8" i="2" s="1"/>
  <c r="F9" i="2"/>
  <c r="K9" i="2" s="1"/>
  <c r="F10" i="2"/>
  <c r="K10" i="2" s="1"/>
  <c r="F11" i="2"/>
  <c r="K11" i="2" s="1"/>
  <c r="F12" i="2"/>
  <c r="K12" i="2" s="1"/>
  <c r="F13" i="2"/>
  <c r="K13" i="2" s="1"/>
  <c r="F14" i="2"/>
  <c r="K14" i="2" s="1"/>
  <c r="F15" i="2"/>
  <c r="K15" i="2" s="1"/>
  <c r="F16" i="2"/>
  <c r="K16" i="2" s="1"/>
  <c r="F17" i="2"/>
  <c r="K17" i="2" s="1"/>
  <c r="F18" i="2"/>
  <c r="K18" i="2" s="1"/>
  <c r="F19" i="2"/>
  <c r="K19" i="2" s="1"/>
  <c r="F20" i="2"/>
  <c r="K20" i="2" s="1"/>
  <c r="F21" i="2"/>
  <c r="K21" i="2" s="1"/>
  <c r="F22" i="2"/>
  <c r="K22" i="2" s="1"/>
  <c r="F23" i="2"/>
  <c r="K23" i="2" s="1"/>
  <c r="F24" i="2"/>
  <c r="K24" i="2" s="1"/>
  <c r="F25" i="2"/>
  <c r="K25" i="2" s="1"/>
  <c r="F26" i="2"/>
  <c r="K26" i="2" s="1"/>
  <c r="F27" i="2"/>
  <c r="K27" i="2" s="1"/>
  <c r="F28" i="2"/>
  <c r="K28" i="2" s="1"/>
  <c r="F29" i="2"/>
  <c r="K29" i="2" s="1"/>
  <c r="F30" i="2"/>
  <c r="K30" i="2" s="1"/>
  <c r="F31" i="2"/>
  <c r="K31" i="2" s="1"/>
  <c r="F32" i="2"/>
  <c r="K32" i="2" s="1"/>
  <c r="F33" i="2"/>
  <c r="K33" i="2" s="1"/>
  <c r="F34" i="2"/>
  <c r="K34" i="2" s="1"/>
  <c r="F35" i="2"/>
  <c r="K35" i="2" s="1"/>
  <c r="F36" i="2"/>
  <c r="K36" i="2" s="1"/>
  <c r="F37" i="2"/>
  <c r="K37" i="2" s="1"/>
  <c r="F38" i="2"/>
  <c r="K38" i="2" s="1"/>
  <c r="F39" i="2"/>
  <c r="K39" i="2" s="1"/>
  <c r="F40" i="2"/>
  <c r="K40" i="2" s="1"/>
  <c r="F41" i="2"/>
  <c r="K41" i="2" s="1"/>
  <c r="F42" i="2"/>
  <c r="K42" i="2" s="1"/>
  <c r="F43" i="2"/>
  <c r="K43" i="2" s="1"/>
  <c r="F44" i="2"/>
  <c r="K44" i="2" s="1"/>
  <c r="F45" i="2"/>
  <c r="K45" i="2" s="1"/>
  <c r="F46" i="2"/>
  <c r="K46" i="2" s="1"/>
  <c r="F47" i="2"/>
  <c r="K47" i="2" s="1"/>
  <c r="F48" i="2"/>
  <c r="K48" i="2" s="1"/>
  <c r="F49" i="2"/>
  <c r="K49" i="2" s="1"/>
  <c r="F50" i="2"/>
  <c r="K50" i="2" s="1"/>
  <c r="F51" i="2"/>
  <c r="K51" i="2" s="1"/>
  <c r="F52" i="2"/>
  <c r="K52" i="2" s="1"/>
  <c r="F53" i="2"/>
  <c r="K53" i="2" s="1"/>
  <c r="F54" i="2"/>
  <c r="K54" i="2" s="1"/>
  <c r="F55" i="2"/>
  <c r="K55" i="2" s="1"/>
  <c r="F56" i="2"/>
  <c r="K56" i="2" s="1"/>
  <c r="F57" i="2"/>
  <c r="K57" i="2" s="1"/>
  <c r="F58" i="2"/>
  <c r="K58" i="2" s="1"/>
  <c r="F59" i="2"/>
  <c r="K59" i="2" s="1"/>
  <c r="F60" i="2"/>
  <c r="K60" i="2" s="1"/>
  <c r="F61" i="2"/>
  <c r="K61" i="2" s="1"/>
  <c r="F62" i="2"/>
  <c r="K62" i="2" s="1"/>
  <c r="F63" i="2"/>
  <c r="K63" i="2" s="1"/>
  <c r="F64" i="2"/>
  <c r="K64" i="2" s="1"/>
  <c r="F65" i="2"/>
  <c r="K65" i="2" s="1"/>
  <c r="F66" i="2"/>
  <c r="K66" i="2" s="1"/>
  <c r="F67" i="2"/>
  <c r="K67" i="2" s="1"/>
  <c r="F68" i="2"/>
  <c r="K68" i="2" s="1"/>
  <c r="F69" i="2"/>
  <c r="K69" i="2" s="1"/>
  <c r="F70" i="2"/>
  <c r="K70" i="2" s="1"/>
  <c r="F71" i="2"/>
  <c r="K71" i="2" s="1"/>
  <c r="F72" i="2"/>
  <c r="K72" i="2" s="1"/>
  <c r="F73" i="2"/>
  <c r="K73" i="2" s="1"/>
  <c r="F74" i="2"/>
  <c r="K74" i="2" s="1"/>
  <c r="F75" i="2"/>
  <c r="K75" i="2" s="1"/>
  <c r="F76" i="2"/>
  <c r="K76" i="2" s="1"/>
  <c r="F77" i="2"/>
  <c r="K77" i="2" s="1"/>
  <c r="F78" i="2"/>
  <c r="K78" i="2" s="1"/>
  <c r="F79" i="2"/>
  <c r="K79" i="2" s="1"/>
  <c r="F80" i="2"/>
  <c r="K80" i="2" s="1"/>
  <c r="F81" i="2"/>
  <c r="K81" i="2" s="1"/>
  <c r="F82" i="2"/>
  <c r="K82" i="2" s="1"/>
  <c r="F83" i="2"/>
  <c r="K83" i="2" s="1"/>
  <c r="F84" i="2"/>
  <c r="K84" i="2" s="1"/>
  <c r="F85" i="2"/>
  <c r="K85" i="2" s="1"/>
  <c r="F86" i="2"/>
  <c r="K86" i="2" s="1"/>
  <c r="F87" i="2"/>
  <c r="K87" i="2" s="1"/>
  <c r="F88" i="2"/>
  <c r="K88" i="2" s="1"/>
  <c r="F89" i="2"/>
  <c r="K89" i="2" s="1"/>
  <c r="F90" i="2"/>
  <c r="K90" i="2" s="1"/>
  <c r="F91" i="2"/>
  <c r="K91" i="2" s="1"/>
  <c r="F92" i="2"/>
  <c r="K92" i="2" s="1"/>
  <c r="F93" i="2"/>
  <c r="K93" i="2" s="1"/>
  <c r="F94" i="2"/>
  <c r="K94" i="2" s="1"/>
  <c r="F95" i="2"/>
  <c r="K95" i="2" s="1"/>
  <c r="F96" i="2"/>
  <c r="K96" i="2" s="1"/>
  <c r="F97" i="2"/>
  <c r="K97" i="2" s="1"/>
  <c r="F98" i="2"/>
  <c r="K98" i="2" s="1"/>
  <c r="F99" i="2"/>
  <c r="K99" i="2" s="1"/>
  <c r="F100" i="2"/>
  <c r="K100" i="2" s="1"/>
  <c r="F101" i="2"/>
  <c r="K101" i="2" s="1"/>
  <c r="F102" i="2"/>
  <c r="K102" i="2" s="1"/>
  <c r="F103" i="2"/>
  <c r="K103" i="2" s="1"/>
  <c r="F104" i="2"/>
  <c r="K104" i="2" s="1"/>
  <c r="F105" i="2"/>
  <c r="K105" i="2" s="1"/>
  <c r="F106" i="2"/>
  <c r="K106" i="2" s="1"/>
  <c r="F107" i="2"/>
  <c r="K107" i="2" s="1"/>
  <c r="F108" i="2"/>
  <c r="K108" i="2" s="1"/>
  <c r="F109" i="2"/>
  <c r="K109" i="2" s="1"/>
  <c r="F110" i="2"/>
  <c r="K110" i="2" s="1"/>
  <c r="F111" i="2"/>
  <c r="K111" i="2" s="1"/>
  <c r="F112" i="2"/>
  <c r="K112" i="2" s="1"/>
  <c r="F113" i="2"/>
  <c r="F114" i="2"/>
  <c r="F3" i="2"/>
  <c r="K3" i="2" s="1"/>
</calcChain>
</file>

<file path=xl/sharedStrings.xml><?xml version="1.0" encoding="utf-8"?>
<sst xmlns="http://schemas.openxmlformats.org/spreadsheetml/2006/main" count="22" uniqueCount="17">
  <si>
    <t>UO_COD</t>
  </si>
  <si>
    <t>FONTE_COD</t>
  </si>
  <si>
    <t>VL_DETALHADO_EXCETO_IPU2</t>
  </si>
  <si>
    <t>VL_DETALHADO_IPU_2</t>
  </si>
  <si>
    <t>VL_REPASSE</t>
  </si>
  <si>
    <t>VL_RECEITA</t>
  </si>
  <si>
    <t>REPASSE_TESOURO</t>
  </si>
  <si>
    <t>Rótulos de Linha</t>
  </si>
  <si>
    <t>Total Geral</t>
  </si>
  <si>
    <t>Soma de VL_REPASSE</t>
  </si>
  <si>
    <t>Soma de VL_RECEITA</t>
  </si>
  <si>
    <t>Soma de REPASSE_TESOURO</t>
  </si>
  <si>
    <t>total</t>
  </si>
  <si>
    <t>Valor receita disponível</t>
  </si>
  <si>
    <t>COD_UO</t>
  </si>
  <si>
    <t>valor</t>
  </si>
  <si>
    <t>ESSES VALORES ESTÃO EM RECURSOS RECEBIDOS... EU RETIREI ESSES VALORES EM QDD_AJUSTADO??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</si>
</sst>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  <xf numFmtId="1" fontId="0" fillId="33" borderId="0" xfId="0" applyNumberFormat="1" applyFill="1"/>
    <xf numFmtId="0" fontId="0" fillId="0" borderId="0" xfId="0" applyFill="1"/>
    <xf numFmtId="3" fontId="0" fillId="0" borderId="0" xfId="0" applyNumberFormat="1" applyFill="1"/>
    <xf numFmtId="1" fontId="0" fillId="0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el do Nascimento Silva (ESCRITORIO)" refreshedDate="42542.721259027778" createdVersion="4" refreshedVersion="4" minRefreshableVersion="3" recordCount="333">
  <cacheSource type="worksheet">
    <worksheetSource ref="A1:G334" sheet="base"/>
  </cacheSource>
  <cacheFields count="7">
    <cacheField name="UO_COD" numFmtId="0">
      <sharedItems containsSemiMixedTypes="0" containsString="0" containsNumber="1" containsInteger="1" minValue="1011" maxValue="9901" count="111">
        <n v="1011"/>
        <n v="1021"/>
        <n v="1031"/>
        <n v="1051"/>
        <n v="1071"/>
        <n v="1081"/>
        <n v="1091"/>
        <n v="1101"/>
        <n v="1111"/>
        <n v="1191"/>
        <n v="1221"/>
        <n v="1231"/>
        <n v="1251"/>
        <n v="1261"/>
        <n v="1271"/>
        <n v="1301"/>
        <n v="1371"/>
        <n v="1401"/>
        <n v="1411"/>
        <n v="1441"/>
        <n v="1451"/>
        <n v="1461"/>
        <n v="1471"/>
        <n v="1481"/>
        <n v="1491"/>
        <n v="1501"/>
        <n v="1511"/>
        <n v="1521"/>
        <n v="1541"/>
        <n v="1551"/>
        <n v="1571"/>
        <n v="1591"/>
        <n v="1631"/>
        <n v="1641"/>
        <n v="1651"/>
        <n v="1661"/>
        <n v="1671"/>
        <n v="1911"/>
        <n v="1915"/>
        <n v="1916"/>
        <n v="1941"/>
        <n v="1991"/>
        <n v="2011"/>
        <n v="2041"/>
        <n v="2061"/>
        <n v="2071"/>
        <n v="2091"/>
        <n v="2101"/>
        <n v="2111"/>
        <n v="2121"/>
        <n v="2141"/>
        <n v="2151"/>
        <n v="2161"/>
        <n v="2171"/>
        <n v="2181"/>
        <n v="2201"/>
        <n v="2211"/>
        <n v="2241"/>
        <n v="2251"/>
        <n v="2261"/>
        <n v="2271"/>
        <n v="2281"/>
        <n v="2301"/>
        <n v="2311"/>
        <n v="2321"/>
        <n v="2331"/>
        <n v="2351"/>
        <n v="2361"/>
        <n v="2371"/>
        <n v="2381"/>
        <n v="2391"/>
        <n v="2401"/>
        <n v="2421"/>
        <n v="2431"/>
        <n v="2441"/>
        <n v="2451"/>
        <n v="2461"/>
        <n v="3041"/>
        <n v="3051"/>
        <n v="3151"/>
        <n v="4031"/>
        <n v="4041"/>
        <n v="4061"/>
        <n v="4091"/>
        <n v="4101"/>
        <n v="4111"/>
        <n v="4121"/>
        <n v="4141"/>
        <n v="4151"/>
        <n v="4171"/>
        <n v="4251"/>
        <n v="4291"/>
        <n v="4321"/>
        <n v="4331"/>
        <n v="4341"/>
        <n v="4381"/>
        <n v="4421"/>
        <n v="4441"/>
        <n v="4451"/>
        <n v="4461"/>
        <n v="4481"/>
        <n v="4491"/>
        <n v="4501"/>
        <n v="4511"/>
        <n v="4531"/>
        <n v="4541"/>
        <n v="4551"/>
        <n v="4571"/>
        <n v="4581"/>
        <n v="4601"/>
        <n v="9901"/>
      </sharedItems>
    </cacheField>
    <cacheField name="FONTE_COD" numFmtId="0">
      <sharedItems containsSemiMixedTypes="0" containsString="0" containsNumber="1" containsInteger="1" minValue="10" maxValue="87"/>
    </cacheField>
    <cacheField name="VL_DETALHADO_EXCETO_IPU2" numFmtId="0">
      <sharedItems containsSemiMixedTypes="0" containsString="0" containsNumber="1" containsInteger="1" minValue="0" maxValue="12803385236"/>
    </cacheField>
    <cacheField name="VL_DETALHADO_IPU_2" numFmtId="0">
      <sharedItems containsSemiMixedTypes="0" containsString="0" containsNumber="1" containsInteger="1" minValue="0" maxValue="48254564"/>
    </cacheField>
    <cacheField name="VL_REPASSE" numFmtId="0">
      <sharedItems containsSemiMixedTypes="0" containsString="0" containsNumber="1" containsInteger="1" minValue="0" maxValue="855934998"/>
    </cacheField>
    <cacheField name="VL_RECEITA" numFmtId="0">
      <sharedItems containsSemiMixedTypes="0" containsString="0" containsNumber="1" containsInteger="1" minValue="0" maxValue="35204946219"/>
    </cacheField>
    <cacheField name="REPASSE_TESOURO" numFmtId="0">
      <sharedItems containsSemiMixedTypes="0" containsString="0" containsNumber="1" containsInteger="1" minValue="0" maxValue="12803385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3">
  <r>
    <x v="0"/>
    <n v="10"/>
    <n v="954009268"/>
    <n v="0"/>
    <n v="0"/>
    <n v="0"/>
    <n v="954009268"/>
  </r>
  <r>
    <x v="0"/>
    <n v="42"/>
    <n v="56652270"/>
    <n v="0"/>
    <n v="0"/>
    <n v="0"/>
    <n v="56652270"/>
  </r>
  <r>
    <x v="0"/>
    <n v="43"/>
    <n v="52532386"/>
    <n v="0"/>
    <n v="0"/>
    <n v="0"/>
    <n v="52532386"/>
  </r>
  <r>
    <x v="0"/>
    <n v="58"/>
    <n v="201998068"/>
    <n v="0"/>
    <n v="0"/>
    <n v="0"/>
    <n v="201998068"/>
  </r>
  <r>
    <x v="0"/>
    <n v="60"/>
    <n v="2200000"/>
    <n v="0"/>
    <n v="0"/>
    <n v="2200000"/>
    <n v="0"/>
  </r>
  <r>
    <x v="1"/>
    <n v="10"/>
    <n v="574944593"/>
    <n v="0"/>
    <n v="0"/>
    <n v="0"/>
    <n v="574944593"/>
  </r>
  <r>
    <x v="1"/>
    <n v="42"/>
    <n v="69855140"/>
    <n v="0"/>
    <n v="0"/>
    <n v="0"/>
    <n v="69855140"/>
  </r>
  <r>
    <x v="1"/>
    <n v="43"/>
    <n v="46384417"/>
    <n v="0"/>
    <n v="0"/>
    <n v="0"/>
    <n v="46384417"/>
  </r>
  <r>
    <x v="1"/>
    <n v="58"/>
    <n v="38893858"/>
    <n v="0"/>
    <n v="0"/>
    <n v="0"/>
    <n v="38893858"/>
  </r>
  <r>
    <x v="1"/>
    <n v="60"/>
    <n v="3757333"/>
    <n v="0"/>
    <n v="0"/>
    <n v="3757333"/>
    <n v="0"/>
  </r>
  <r>
    <x v="2"/>
    <n v="10"/>
    <n v="3112919222"/>
    <n v="0"/>
    <n v="0"/>
    <n v="0"/>
    <n v="3112919222"/>
  </r>
  <r>
    <x v="2"/>
    <n v="42"/>
    <n v="428351284"/>
    <n v="0"/>
    <n v="0"/>
    <n v="0"/>
    <n v="428351284"/>
  </r>
  <r>
    <x v="2"/>
    <n v="43"/>
    <n v="279299438"/>
    <n v="0"/>
    <n v="0"/>
    <n v="0"/>
    <n v="279299438"/>
  </r>
  <r>
    <x v="2"/>
    <n v="58"/>
    <n v="456010961"/>
    <n v="0"/>
    <n v="0"/>
    <n v="0"/>
    <n v="456010961"/>
  </r>
  <r>
    <x v="2"/>
    <n v="60"/>
    <n v="0"/>
    <n v="0"/>
    <n v="47474564"/>
    <n v="47474564"/>
    <n v="0"/>
  </r>
  <r>
    <x v="3"/>
    <n v="10"/>
    <n v="42379000"/>
    <n v="0"/>
    <n v="0"/>
    <n v="0"/>
    <n v="42379000"/>
  </r>
  <r>
    <x v="3"/>
    <n v="42"/>
    <n v="3503021"/>
    <n v="0"/>
    <n v="0"/>
    <n v="0"/>
    <n v="3503021"/>
  </r>
  <r>
    <x v="3"/>
    <n v="43"/>
    <n v="2447001"/>
    <n v="0"/>
    <n v="0"/>
    <n v="0"/>
    <n v="2447001"/>
  </r>
  <r>
    <x v="3"/>
    <n v="58"/>
    <n v="4196000"/>
    <n v="0"/>
    <n v="0"/>
    <n v="0"/>
    <n v="4196000"/>
  </r>
  <r>
    <x v="3"/>
    <n v="60"/>
    <n v="770000"/>
    <n v="0"/>
    <n v="0"/>
    <n v="770000"/>
    <n v="0"/>
  </r>
  <r>
    <x v="4"/>
    <n v="10"/>
    <n v="24774647"/>
    <n v="0"/>
    <n v="0"/>
    <n v="0"/>
    <n v="24774647"/>
  </r>
  <r>
    <x v="5"/>
    <n v="10"/>
    <n v="962815914"/>
    <n v="0"/>
    <n v="0"/>
    <n v="0"/>
    <n v="962815914"/>
  </r>
  <r>
    <x v="6"/>
    <n v="10"/>
    <n v="1529869199"/>
    <n v="0"/>
    <n v="0"/>
    <n v="4880000"/>
    <n v="1524989199"/>
  </r>
  <r>
    <x v="6"/>
    <n v="24"/>
    <n v="2480000"/>
    <n v="0"/>
    <n v="0"/>
    <n v="2480000"/>
    <n v="0"/>
  </r>
  <r>
    <x v="6"/>
    <n v="30"/>
    <n v="100000"/>
    <n v="0"/>
    <n v="0"/>
    <n v="100000"/>
    <n v="0"/>
  </r>
  <r>
    <x v="6"/>
    <n v="42"/>
    <n v="162315374"/>
    <n v="0"/>
    <n v="0"/>
    <n v="0"/>
    <n v="162315374"/>
  </r>
  <r>
    <x v="6"/>
    <n v="43"/>
    <n v="99861825"/>
    <n v="0"/>
    <n v="0"/>
    <n v="0"/>
    <n v="99861825"/>
  </r>
  <r>
    <x v="6"/>
    <n v="47"/>
    <n v="840000"/>
    <n v="0"/>
    <n v="0"/>
    <n v="840000"/>
    <n v="0"/>
  </r>
  <r>
    <x v="6"/>
    <n v="58"/>
    <n v="58452801"/>
    <n v="0"/>
    <n v="0"/>
    <n v="0"/>
    <n v="58452801"/>
  </r>
  <r>
    <x v="6"/>
    <n v="60"/>
    <n v="7430000"/>
    <n v="0"/>
    <n v="0"/>
    <n v="7430000"/>
    <n v="0"/>
  </r>
  <r>
    <x v="6"/>
    <n v="70"/>
    <n v="1050000"/>
    <n v="0"/>
    <n v="0"/>
    <n v="1050000"/>
    <n v="0"/>
  </r>
  <r>
    <x v="7"/>
    <n v="10"/>
    <n v="6066332"/>
    <n v="0"/>
    <n v="0"/>
    <n v="0"/>
    <n v="6066332"/>
  </r>
  <r>
    <x v="8"/>
    <n v="10"/>
    <n v="1642325"/>
    <n v="0"/>
    <n v="0"/>
    <n v="0"/>
    <n v="1642325"/>
  </r>
  <r>
    <x v="9"/>
    <n v="10"/>
    <n v="908828763"/>
    <n v="0"/>
    <n v="0"/>
    <n v="0"/>
    <n v="908828763"/>
  </r>
  <r>
    <x v="9"/>
    <n v="29"/>
    <n v="13812524"/>
    <n v="0"/>
    <n v="0"/>
    <n v="0"/>
    <n v="13812524"/>
  </r>
  <r>
    <x v="9"/>
    <n v="52"/>
    <n v="0"/>
    <n v="14000"/>
    <n v="0"/>
    <n v="0"/>
    <n v="0"/>
  </r>
  <r>
    <x v="9"/>
    <n v="53"/>
    <n v="560000"/>
    <n v="0"/>
    <n v="0"/>
    <n v="0"/>
    <n v="560000"/>
  </r>
  <r>
    <x v="9"/>
    <n v="54"/>
    <n v="0"/>
    <n v="1120"/>
    <n v="0"/>
    <n v="0"/>
    <n v="0"/>
  </r>
  <r>
    <x v="9"/>
    <n v="72"/>
    <n v="227890808"/>
    <n v="0"/>
    <n v="0"/>
    <n v="0"/>
    <n v="227890808"/>
  </r>
  <r>
    <x v="10"/>
    <n v="10"/>
    <n v="18946341"/>
    <n v="0"/>
    <n v="0"/>
    <n v="0"/>
    <n v="18946341"/>
  </r>
  <r>
    <x v="11"/>
    <n v="10"/>
    <n v="23932090"/>
    <n v="0"/>
    <n v="0"/>
    <n v="0"/>
    <n v="23932090"/>
  </r>
  <r>
    <x v="11"/>
    <n v="71"/>
    <n v="207900"/>
    <n v="0"/>
    <n v="0"/>
    <n v="0"/>
    <n v="207900"/>
  </r>
  <r>
    <x v="12"/>
    <n v="10"/>
    <n v="9458232889"/>
    <n v="0"/>
    <n v="0"/>
    <n v="0"/>
    <n v="9458232889"/>
  </r>
  <r>
    <x v="12"/>
    <n v="24"/>
    <n v="2356888"/>
    <n v="0"/>
    <n v="0"/>
    <n v="2356888"/>
    <n v="0"/>
  </r>
  <r>
    <x v="12"/>
    <n v="30"/>
    <n v="153125616"/>
    <n v="0"/>
    <n v="0"/>
    <n v="0"/>
    <n v="153125616"/>
  </r>
  <r>
    <x v="12"/>
    <n v="45"/>
    <n v="177005"/>
    <n v="0"/>
    <n v="0"/>
    <n v="183000"/>
    <n v="0"/>
  </r>
  <r>
    <x v="12"/>
    <n v="52"/>
    <n v="0"/>
    <n v="5000000"/>
    <n v="0"/>
    <n v="0"/>
    <n v="0"/>
  </r>
  <r>
    <x v="12"/>
    <n v="60"/>
    <n v="8365890"/>
    <n v="1000000"/>
    <n v="0"/>
    <n v="8679390"/>
    <n v="0"/>
  </r>
  <r>
    <x v="12"/>
    <n v="70"/>
    <n v="8674970"/>
    <n v="0"/>
    <n v="0"/>
    <n v="8674970"/>
    <n v="0"/>
  </r>
  <r>
    <x v="12"/>
    <n v="73"/>
    <n v="10000000"/>
    <n v="0"/>
    <n v="0"/>
    <n v="10000000"/>
    <n v="0"/>
  </r>
  <r>
    <x v="12"/>
    <n v="75"/>
    <n v="321518391"/>
    <n v="0"/>
    <n v="0"/>
    <n v="0"/>
    <n v="321518391"/>
  </r>
  <r>
    <x v="12"/>
    <n v="77"/>
    <n v="0"/>
    <n v="337500"/>
    <n v="0"/>
    <n v="0"/>
    <n v="0"/>
  </r>
  <r>
    <x v="12"/>
    <n v="82"/>
    <n v="57539748"/>
    <n v="0"/>
    <n v="0"/>
    <n v="0"/>
    <n v="57539748"/>
  </r>
  <r>
    <x v="12"/>
    <n v="83"/>
    <n v="0"/>
    <n v="10000000"/>
    <n v="0"/>
    <n v="0"/>
    <n v="0"/>
  </r>
  <r>
    <x v="13"/>
    <n v="10"/>
    <n v="2248625578"/>
    <n v="0"/>
    <n v="0"/>
    <n v="0"/>
    <n v="2248625578"/>
  </r>
  <r>
    <x v="13"/>
    <n v="21"/>
    <n v="22500000"/>
    <n v="0"/>
    <n v="0"/>
    <n v="612720000"/>
    <n v="0"/>
  </r>
  <r>
    <x v="13"/>
    <n v="23"/>
    <n v="6921534461"/>
    <n v="0"/>
    <n v="0"/>
    <n v="0"/>
    <n v="6921534461"/>
  </r>
  <r>
    <x v="13"/>
    <n v="24"/>
    <n v="300000"/>
    <n v="0"/>
    <n v="0"/>
    <n v="300000"/>
    <n v="0"/>
  </r>
  <r>
    <x v="13"/>
    <n v="36"/>
    <n v="200000000"/>
    <n v="0"/>
    <n v="0"/>
    <n v="200000000"/>
    <n v="0"/>
  </r>
  <r>
    <x v="13"/>
    <n v="71"/>
    <n v="82872000"/>
    <n v="0"/>
    <n v="0"/>
    <n v="0"/>
    <n v="82872000"/>
  </r>
  <r>
    <x v="14"/>
    <n v="10"/>
    <n v="55197175"/>
    <n v="0"/>
    <n v="0"/>
    <n v="0"/>
    <n v="55197175"/>
  </r>
  <r>
    <x v="14"/>
    <n v="60"/>
    <n v="3500"/>
    <n v="0"/>
    <n v="0"/>
    <n v="3500"/>
    <n v="0"/>
  </r>
  <r>
    <x v="14"/>
    <n v="70"/>
    <n v="1010000"/>
    <n v="0"/>
    <n v="0"/>
    <n v="1010000"/>
    <n v="0"/>
  </r>
  <r>
    <x v="15"/>
    <n v="10"/>
    <n v="44598133"/>
    <n v="0"/>
    <n v="0"/>
    <n v="0"/>
    <n v="44598133"/>
  </r>
  <r>
    <x v="15"/>
    <n v="24"/>
    <n v="4000000"/>
    <n v="0"/>
    <n v="0"/>
    <n v="4000000"/>
    <n v="0"/>
  </r>
  <r>
    <x v="15"/>
    <n v="25"/>
    <n v="119086889"/>
    <n v="0"/>
    <n v="0"/>
    <n v="0"/>
    <n v="119086889"/>
  </r>
  <r>
    <x v="15"/>
    <n v="70"/>
    <n v="1108000"/>
    <n v="0"/>
    <n v="0"/>
    <n v="1108000"/>
    <n v="0"/>
  </r>
  <r>
    <x v="15"/>
    <n v="73"/>
    <n v="637703"/>
    <n v="0"/>
    <n v="0"/>
    <n v="637703"/>
    <n v="0"/>
  </r>
  <r>
    <x v="16"/>
    <n v="10"/>
    <n v="3500000"/>
    <n v="0"/>
    <n v="0"/>
    <n v="0"/>
    <n v="3500000"/>
  </r>
  <r>
    <x v="16"/>
    <n v="24"/>
    <n v="750000"/>
    <n v="0"/>
    <n v="0"/>
    <n v="750000"/>
    <n v="0"/>
  </r>
  <r>
    <x v="16"/>
    <n v="31"/>
    <n v="51925947"/>
    <n v="0"/>
    <n v="0"/>
    <n v="0"/>
    <n v="51925947"/>
  </r>
  <r>
    <x v="16"/>
    <n v="52"/>
    <n v="0"/>
    <n v="5000000"/>
    <n v="0"/>
    <n v="0"/>
    <n v="0"/>
  </r>
  <r>
    <x v="16"/>
    <n v="72"/>
    <n v="69751951"/>
    <n v="0"/>
    <n v="0"/>
    <n v="0"/>
    <n v="69751951"/>
  </r>
  <r>
    <x v="17"/>
    <n v="10"/>
    <n v="931172035"/>
    <n v="0"/>
    <n v="0"/>
    <n v="0"/>
    <n v="931172035"/>
  </r>
  <r>
    <x v="17"/>
    <n v="24"/>
    <n v="3915000"/>
    <n v="0"/>
    <n v="0"/>
    <n v="3915000"/>
    <n v="0"/>
  </r>
  <r>
    <x v="17"/>
    <n v="27"/>
    <n v="17622334"/>
    <n v="0"/>
    <n v="0"/>
    <n v="0"/>
    <n v="17622334"/>
  </r>
  <r>
    <x v="17"/>
    <n v="53"/>
    <n v="81099850"/>
    <n v="0"/>
    <n v="0"/>
    <n v="0"/>
    <n v="81099850"/>
  </r>
  <r>
    <x v="17"/>
    <n v="60"/>
    <n v="1065682"/>
    <n v="0"/>
    <n v="0"/>
    <n v="5041749"/>
    <n v="0"/>
  </r>
  <r>
    <x v="17"/>
    <n v="74"/>
    <n v="89000"/>
    <n v="0"/>
    <n v="0"/>
    <n v="89000"/>
    <n v="0"/>
  </r>
  <r>
    <x v="17"/>
    <n v="75"/>
    <n v="26369935"/>
    <n v="0"/>
    <n v="0"/>
    <n v="0"/>
    <n v="26369935"/>
  </r>
  <r>
    <x v="17"/>
    <n v="77"/>
    <n v="0"/>
    <n v="30000"/>
    <n v="0"/>
    <n v="0"/>
    <n v="0"/>
  </r>
  <r>
    <x v="18"/>
    <n v="10"/>
    <n v="11687745"/>
    <n v="0"/>
    <n v="0"/>
    <n v="0"/>
    <n v="11687745"/>
  </r>
  <r>
    <x v="19"/>
    <n v="10"/>
    <n v="305739925"/>
    <n v="0"/>
    <n v="0"/>
    <n v="0"/>
    <n v="305739925"/>
  </r>
  <r>
    <x v="19"/>
    <n v="25"/>
    <n v="7033625"/>
    <n v="0"/>
    <n v="0"/>
    <n v="0"/>
    <n v="7033625"/>
  </r>
  <r>
    <x v="19"/>
    <n v="58"/>
    <n v="96383310"/>
    <n v="0"/>
    <n v="0"/>
    <n v="0"/>
    <n v="96383310"/>
  </r>
  <r>
    <x v="19"/>
    <n v="60"/>
    <n v="3370000"/>
    <n v="0"/>
    <n v="0"/>
    <n v="3370000"/>
    <n v="0"/>
  </r>
  <r>
    <x v="20"/>
    <n v="10"/>
    <n v="783062638"/>
    <n v="0"/>
    <n v="0"/>
    <n v="94739177"/>
    <n v="688323461"/>
  </r>
  <r>
    <x v="20"/>
    <n v="27"/>
    <n v="1371763421"/>
    <n v="0"/>
    <n v="0"/>
    <n v="0"/>
    <n v="1371763421"/>
  </r>
  <r>
    <x v="20"/>
    <n v="60"/>
    <n v="2700000"/>
    <n v="0"/>
    <n v="0"/>
    <n v="2700000"/>
    <n v="0"/>
  </r>
  <r>
    <x v="20"/>
    <n v="61"/>
    <n v="500000"/>
    <n v="0"/>
    <n v="0"/>
    <n v="500000"/>
    <n v="0"/>
  </r>
  <r>
    <x v="21"/>
    <n v="10"/>
    <n v="10225764"/>
    <n v="0"/>
    <n v="0"/>
    <n v="0"/>
    <n v="10225764"/>
  </r>
  <r>
    <x v="21"/>
    <n v="32"/>
    <n v="1468042"/>
    <n v="0"/>
    <n v="0"/>
    <n v="0"/>
    <n v="1468042"/>
  </r>
  <r>
    <x v="22"/>
    <n v="10"/>
    <n v="33614902"/>
    <n v="0"/>
    <n v="0"/>
    <n v="0"/>
    <n v="33614902"/>
  </r>
  <r>
    <x v="22"/>
    <n v="24"/>
    <n v="39165542"/>
    <n v="0"/>
    <n v="0"/>
    <n v="39165542"/>
    <n v="0"/>
  </r>
  <r>
    <x v="23"/>
    <n v="10"/>
    <n v="37852632"/>
    <n v="0"/>
    <n v="0"/>
    <n v="0"/>
    <n v="37852632"/>
  </r>
  <r>
    <x v="23"/>
    <n v="24"/>
    <n v="15938193"/>
    <n v="0"/>
    <n v="0"/>
    <n v="15938193"/>
    <n v="0"/>
  </r>
  <r>
    <x v="23"/>
    <n v="71"/>
    <n v="22831954"/>
    <n v="0"/>
    <n v="0"/>
    <n v="0"/>
    <n v="22831954"/>
  </r>
  <r>
    <x v="24"/>
    <n v="10"/>
    <n v="236082353"/>
    <n v="0"/>
    <n v="0"/>
    <n v="0"/>
    <n v="236082353"/>
  </r>
  <r>
    <x v="25"/>
    <n v="10"/>
    <n v="242449048"/>
    <n v="0"/>
    <n v="0"/>
    <n v="0"/>
    <n v="242449048"/>
  </r>
  <r>
    <x v="25"/>
    <n v="60"/>
    <n v="0"/>
    <n v="2868393"/>
    <n v="0"/>
    <n v="0"/>
    <n v="0"/>
  </r>
  <r>
    <x v="26"/>
    <n v="10"/>
    <n v="1800821676"/>
    <n v="0"/>
    <n v="0"/>
    <n v="0"/>
    <n v="1800821676"/>
  </r>
  <r>
    <x v="26"/>
    <n v="60"/>
    <n v="10849295"/>
    <n v="0"/>
    <n v="12852673"/>
    <n v="27050000"/>
    <n v="0"/>
  </r>
  <r>
    <x v="26"/>
    <n v="74"/>
    <n v="0"/>
    <n v="0"/>
    <n v="25200000"/>
    <n v="25200000"/>
    <n v="0"/>
  </r>
  <r>
    <x v="27"/>
    <n v="10"/>
    <n v="29323980"/>
    <n v="0"/>
    <n v="0"/>
    <n v="0"/>
    <n v="29323980"/>
  </r>
  <r>
    <x v="28"/>
    <n v="10"/>
    <n v="51366022"/>
    <n v="0"/>
    <n v="0"/>
    <n v="51366022"/>
    <n v="0"/>
  </r>
  <r>
    <x v="28"/>
    <n v="60"/>
    <n v="131169"/>
    <n v="0"/>
    <n v="0"/>
    <n v="131169"/>
    <n v="0"/>
  </r>
  <r>
    <x v="29"/>
    <n v="10"/>
    <n v="85802503"/>
    <n v="0"/>
    <n v="0"/>
    <n v="0"/>
    <n v="85802503"/>
  </r>
  <r>
    <x v="29"/>
    <n v="60"/>
    <n v="0"/>
    <n v="12250000"/>
    <n v="0"/>
    <n v="0"/>
    <n v="0"/>
  </r>
  <r>
    <x v="29"/>
    <n v="74"/>
    <n v="0"/>
    <n v="25200000"/>
    <n v="0"/>
    <n v="0"/>
    <n v="0"/>
  </r>
  <r>
    <x v="29"/>
    <n v="82"/>
    <n v="13722416"/>
    <n v="0"/>
    <n v="0"/>
    <n v="0"/>
    <n v="13722416"/>
  </r>
  <r>
    <x v="30"/>
    <n v="10"/>
    <n v="12781378"/>
    <n v="0"/>
    <n v="0"/>
    <n v="0"/>
    <n v="12781378"/>
  </r>
  <r>
    <x v="31"/>
    <n v="10"/>
    <n v="3136136"/>
    <n v="0"/>
    <n v="0"/>
    <n v="0"/>
    <n v="3136136"/>
  </r>
  <r>
    <x v="31"/>
    <n v="24"/>
    <n v="126800000"/>
    <n v="0"/>
    <n v="0"/>
    <n v="126800000"/>
    <n v="0"/>
  </r>
  <r>
    <x v="32"/>
    <n v="10"/>
    <n v="30339041"/>
    <n v="0"/>
    <n v="0"/>
    <n v="0"/>
    <n v="30339041"/>
  </r>
  <r>
    <x v="33"/>
    <n v="10"/>
    <n v="14279484"/>
    <n v="0"/>
    <n v="0"/>
    <n v="0"/>
    <n v="14279484"/>
  </r>
  <r>
    <x v="33"/>
    <n v="59"/>
    <n v="33000"/>
    <n v="0"/>
    <n v="0"/>
    <n v="33000"/>
    <n v="0"/>
  </r>
  <r>
    <x v="33"/>
    <n v="60"/>
    <n v="270000"/>
    <n v="0"/>
    <n v="0"/>
    <n v="270000"/>
    <n v="0"/>
  </r>
  <r>
    <x v="33"/>
    <n v="71"/>
    <n v="7140000"/>
    <n v="0"/>
    <n v="0"/>
    <n v="0"/>
    <n v="7140000"/>
  </r>
  <r>
    <x v="34"/>
    <n v="10"/>
    <n v="23538617"/>
    <n v="0"/>
    <n v="0"/>
    <n v="0"/>
    <n v="23538617"/>
  </r>
  <r>
    <x v="34"/>
    <n v="24"/>
    <n v="3301359"/>
    <n v="0"/>
    <n v="0"/>
    <n v="3301359"/>
    <n v="0"/>
  </r>
  <r>
    <x v="34"/>
    <n v="60"/>
    <n v="0"/>
    <n v="2625000"/>
    <n v="0"/>
    <n v="0"/>
    <n v="0"/>
  </r>
  <r>
    <x v="35"/>
    <n v="10"/>
    <n v="114197159"/>
    <n v="0"/>
    <n v="0"/>
    <n v="0"/>
    <n v="114197159"/>
  </r>
  <r>
    <x v="35"/>
    <n v="25"/>
    <n v="24900000"/>
    <n v="0"/>
    <n v="0"/>
    <n v="0"/>
    <n v="24900000"/>
  </r>
  <r>
    <x v="35"/>
    <n v="60"/>
    <n v="0"/>
    <n v="8149735"/>
    <n v="0"/>
    <n v="0"/>
    <n v="0"/>
  </r>
  <r>
    <x v="36"/>
    <n v="10"/>
    <n v="25801127"/>
    <n v="0"/>
    <n v="0"/>
    <n v="0"/>
    <n v="25801127"/>
  </r>
  <r>
    <x v="36"/>
    <n v="38"/>
    <n v="15800000"/>
    <n v="0"/>
    <n v="0"/>
    <n v="15800000"/>
    <n v="0"/>
  </r>
  <r>
    <x v="36"/>
    <n v="45"/>
    <n v="2400000"/>
    <n v="0"/>
    <n v="0"/>
    <n v="2400000"/>
    <n v="0"/>
  </r>
  <r>
    <x v="36"/>
    <n v="60"/>
    <n v="1002000"/>
    <n v="0"/>
    <n v="0"/>
    <n v="1600000"/>
    <n v="0"/>
  </r>
  <r>
    <x v="37"/>
    <n v="10"/>
    <n v="7920994662"/>
    <n v="0"/>
    <n v="0"/>
    <n v="0"/>
    <n v="7920994662"/>
  </r>
  <r>
    <x v="37"/>
    <n v="20"/>
    <n v="12803385236"/>
    <n v="0"/>
    <n v="0"/>
    <n v="0"/>
    <n v="12803385236"/>
  </r>
  <r>
    <x v="37"/>
    <n v="27"/>
    <n v="20000000"/>
    <n v="0"/>
    <n v="0"/>
    <n v="0"/>
    <n v="20000000"/>
  </r>
  <r>
    <x v="37"/>
    <n v="51"/>
    <n v="42030033"/>
    <n v="0"/>
    <n v="0"/>
    <n v="0"/>
    <n v="42030033"/>
  </r>
  <r>
    <x v="37"/>
    <n v="52"/>
    <n v="0"/>
    <n v="15000"/>
    <n v="0"/>
    <n v="0"/>
    <n v="0"/>
  </r>
  <r>
    <x v="37"/>
    <n v="53"/>
    <n v="500000"/>
    <n v="0"/>
    <n v="0"/>
    <n v="0"/>
    <n v="500000"/>
  </r>
  <r>
    <x v="37"/>
    <n v="82"/>
    <n v="3750640"/>
    <n v="0"/>
    <n v="0"/>
    <n v="0"/>
    <n v="3750640"/>
  </r>
  <r>
    <x v="37"/>
    <n v="83"/>
    <n v="0"/>
    <n v="500000"/>
    <n v="0"/>
    <n v="0"/>
    <n v="0"/>
  </r>
  <r>
    <x v="38"/>
    <n v="10"/>
    <n v="9000"/>
    <n v="0"/>
    <n v="0"/>
    <n v="0"/>
    <n v="9000"/>
  </r>
  <r>
    <x v="38"/>
    <n v="61"/>
    <n v="0"/>
    <n v="88000"/>
    <n v="0"/>
    <n v="0"/>
    <n v="0"/>
  </r>
  <r>
    <x v="39"/>
    <n v="10"/>
    <n v="6908641231"/>
    <n v="0"/>
    <n v="0"/>
    <n v="0"/>
    <n v="6908641231"/>
  </r>
  <r>
    <x v="40"/>
    <n v="10"/>
    <n v="327442021"/>
    <n v="0"/>
    <n v="0"/>
    <n v="0"/>
    <n v="327442021"/>
  </r>
  <r>
    <x v="40"/>
    <n v="25"/>
    <n v="40000000"/>
    <n v="0"/>
    <n v="0"/>
    <n v="0"/>
    <n v="40000000"/>
  </r>
  <r>
    <x v="40"/>
    <n v="71"/>
    <n v="1218942"/>
    <n v="0"/>
    <n v="0"/>
    <n v="0"/>
    <n v="1218942"/>
  </r>
  <r>
    <x v="41"/>
    <n v="10"/>
    <n v="512459837"/>
    <n v="0"/>
    <n v="0"/>
    <n v="0"/>
    <n v="512459837"/>
  </r>
  <r>
    <x v="42"/>
    <n v="49"/>
    <n v="303224257"/>
    <n v="0"/>
    <n v="0"/>
    <n v="303224257"/>
    <n v="0"/>
  </r>
  <r>
    <x v="42"/>
    <n v="50"/>
    <n v="571439114"/>
    <n v="0"/>
    <n v="0"/>
    <n v="571439114"/>
    <n v="0"/>
  </r>
  <r>
    <x v="42"/>
    <n v="60"/>
    <n v="54680901"/>
    <n v="0"/>
    <n v="6179791"/>
    <n v="99933125"/>
    <n v="0"/>
  </r>
  <r>
    <x v="43"/>
    <n v="60"/>
    <n v="11927651"/>
    <n v="0"/>
    <n v="3015107"/>
    <n v="29300000"/>
    <n v="0"/>
  </r>
  <r>
    <x v="44"/>
    <n v="10"/>
    <n v="32454590"/>
    <n v="0"/>
    <n v="0"/>
    <n v="0"/>
    <n v="32454590"/>
  </r>
  <r>
    <x v="44"/>
    <n v="24"/>
    <n v="112053"/>
    <n v="0"/>
    <n v="0"/>
    <n v="112053"/>
    <n v="0"/>
  </r>
  <r>
    <x v="44"/>
    <n v="45"/>
    <n v="4000000"/>
    <n v="0"/>
    <n v="0"/>
    <n v="4000000"/>
    <n v="0"/>
  </r>
  <r>
    <x v="44"/>
    <n v="60"/>
    <n v="3046382"/>
    <n v="0"/>
    <n v="0"/>
    <n v="3901382"/>
    <n v="0"/>
  </r>
  <r>
    <x v="45"/>
    <n v="10"/>
    <n v="355451549"/>
    <n v="0"/>
    <n v="0"/>
    <n v="0"/>
    <n v="355451549"/>
  </r>
  <r>
    <x v="45"/>
    <n v="24"/>
    <n v="7127672"/>
    <n v="0"/>
    <n v="0"/>
    <n v="7127672"/>
    <n v="0"/>
  </r>
  <r>
    <x v="45"/>
    <n v="60"/>
    <n v="1655844"/>
    <n v="0"/>
    <n v="0"/>
    <n v="10700000"/>
    <n v="0"/>
  </r>
  <r>
    <x v="45"/>
    <n v="70"/>
    <n v="23932169"/>
    <n v="0"/>
    <n v="0"/>
    <n v="23932169"/>
    <n v="0"/>
  </r>
  <r>
    <x v="46"/>
    <n v="10"/>
    <n v="2200000"/>
    <n v="0"/>
    <n v="0"/>
    <n v="0"/>
    <n v="2200000"/>
  </r>
  <r>
    <x v="46"/>
    <n v="47"/>
    <n v="25000"/>
    <n v="0"/>
    <n v="0"/>
    <n v="25000"/>
    <n v="0"/>
  </r>
  <r>
    <x v="46"/>
    <n v="52"/>
    <n v="4971000"/>
    <n v="0"/>
    <n v="10029000"/>
    <n v="15000000"/>
    <n v="0"/>
  </r>
  <r>
    <x v="46"/>
    <n v="60"/>
    <n v="29890000"/>
    <n v="0"/>
    <n v="60000"/>
    <n v="29950000"/>
    <n v="0"/>
  </r>
  <r>
    <x v="47"/>
    <n v="10"/>
    <n v="1850000"/>
    <n v="0"/>
    <n v="0"/>
    <n v="0"/>
    <n v="1850000"/>
  </r>
  <r>
    <x v="47"/>
    <n v="26"/>
    <n v="45000000"/>
    <n v="0"/>
    <n v="0"/>
    <n v="45000000"/>
    <n v="0"/>
  </r>
  <r>
    <x v="47"/>
    <n v="31"/>
    <n v="5000000"/>
    <n v="0"/>
    <n v="0"/>
    <n v="0"/>
    <n v="5000000"/>
  </r>
  <r>
    <x v="47"/>
    <n v="47"/>
    <n v="150000"/>
    <n v="0"/>
    <n v="0"/>
    <n v="150000"/>
    <n v="0"/>
  </r>
  <r>
    <x v="47"/>
    <n v="52"/>
    <n v="1000000"/>
    <n v="0"/>
    <n v="0"/>
    <n v="1000000"/>
    <n v="0"/>
  </r>
  <r>
    <x v="47"/>
    <n v="60"/>
    <n v="29250000"/>
    <n v="0"/>
    <n v="600000"/>
    <n v="29850000"/>
    <n v="0"/>
  </r>
  <r>
    <x v="47"/>
    <n v="61"/>
    <n v="58000000"/>
    <n v="0"/>
    <n v="0"/>
    <n v="58000000"/>
    <n v="0"/>
  </r>
  <r>
    <x v="48"/>
    <n v="10"/>
    <n v="6942783"/>
    <n v="0"/>
    <n v="0"/>
    <n v="0"/>
    <n v="6942783"/>
  </r>
  <r>
    <x v="48"/>
    <n v="24"/>
    <n v="38506896"/>
    <n v="0"/>
    <n v="0"/>
    <n v="38506896"/>
    <n v="0"/>
  </r>
  <r>
    <x v="48"/>
    <n v="47"/>
    <n v="1000"/>
    <n v="0"/>
    <n v="0"/>
    <n v="2170000"/>
    <n v="0"/>
  </r>
  <r>
    <x v="48"/>
    <n v="60"/>
    <n v="5308000"/>
    <n v="0"/>
    <n v="0"/>
    <n v="5308000"/>
    <n v="0"/>
  </r>
  <r>
    <x v="49"/>
    <n v="47"/>
    <n v="5000"/>
    <n v="0"/>
    <n v="0"/>
    <n v="5000"/>
    <n v="0"/>
  </r>
  <r>
    <x v="49"/>
    <n v="49"/>
    <n v="1364826100"/>
    <n v="0"/>
    <n v="0"/>
    <n v="1364826100"/>
    <n v="0"/>
  </r>
  <r>
    <x v="49"/>
    <n v="50"/>
    <n v="682408600"/>
    <n v="0"/>
    <n v="0"/>
    <n v="682408600"/>
    <n v="0"/>
  </r>
  <r>
    <x v="49"/>
    <n v="60"/>
    <n v="71458827"/>
    <n v="0"/>
    <n v="425980"/>
    <n v="110379991"/>
    <n v="0"/>
  </r>
  <r>
    <x v="50"/>
    <n v="10"/>
    <n v="24478406"/>
    <n v="0"/>
    <n v="0"/>
    <n v="1000"/>
    <n v="24477406"/>
  </r>
  <r>
    <x v="50"/>
    <n v="24"/>
    <n v="73072976"/>
    <n v="0"/>
    <n v="0"/>
    <n v="73072976"/>
    <n v="0"/>
  </r>
  <r>
    <x v="50"/>
    <n v="25"/>
    <n v="65671479"/>
    <n v="0"/>
    <n v="0"/>
    <n v="0"/>
    <n v="65671479"/>
  </r>
  <r>
    <x v="50"/>
    <n v="60"/>
    <n v="11177321"/>
    <n v="0"/>
    <n v="0"/>
    <n v="11177321"/>
    <n v="0"/>
  </r>
  <r>
    <x v="51"/>
    <n v="10"/>
    <n v="9810503"/>
    <n v="0"/>
    <n v="0"/>
    <n v="0"/>
    <n v="9810503"/>
  </r>
  <r>
    <x v="51"/>
    <n v="60"/>
    <n v="3000"/>
    <n v="0"/>
    <n v="0"/>
    <n v="358200"/>
    <n v="0"/>
  </r>
  <r>
    <x v="52"/>
    <n v="10"/>
    <n v="4927951"/>
    <n v="0"/>
    <n v="0"/>
    <n v="0"/>
    <n v="4927951"/>
  </r>
  <r>
    <x v="52"/>
    <n v="47"/>
    <n v="1000"/>
    <n v="0"/>
    <n v="0"/>
    <n v="160000"/>
    <n v="0"/>
  </r>
  <r>
    <x v="52"/>
    <n v="60"/>
    <n v="48500"/>
    <n v="0"/>
    <n v="0"/>
    <n v="48500"/>
    <n v="0"/>
  </r>
  <r>
    <x v="53"/>
    <n v="10"/>
    <n v="3226580"/>
    <n v="0"/>
    <n v="0"/>
    <n v="0"/>
    <n v="3226580"/>
  </r>
  <r>
    <x v="53"/>
    <n v="45"/>
    <n v="421000"/>
    <n v="0"/>
    <n v="0"/>
    <n v="421000"/>
    <n v="0"/>
  </r>
  <r>
    <x v="53"/>
    <n v="60"/>
    <n v="382785"/>
    <n v="0"/>
    <n v="0"/>
    <n v="382785"/>
    <n v="0"/>
  </r>
  <r>
    <x v="54"/>
    <n v="10"/>
    <n v="38809459"/>
    <n v="0"/>
    <n v="0"/>
    <n v="0"/>
    <n v="38809459"/>
  </r>
  <r>
    <x v="54"/>
    <n v="60"/>
    <n v="3790000"/>
    <n v="0"/>
    <n v="0"/>
    <n v="3790000"/>
    <n v="0"/>
  </r>
  <r>
    <x v="55"/>
    <n v="10"/>
    <n v="15489954"/>
    <n v="0"/>
    <n v="0"/>
    <n v="0"/>
    <n v="15489954"/>
  </r>
  <r>
    <x v="55"/>
    <n v="45"/>
    <n v="225626"/>
    <n v="0"/>
    <n v="0"/>
    <n v="225626"/>
    <n v="0"/>
  </r>
  <r>
    <x v="55"/>
    <n v="60"/>
    <n v="8346"/>
    <n v="0"/>
    <n v="0"/>
    <n v="8346"/>
    <n v="0"/>
  </r>
  <r>
    <x v="56"/>
    <n v="10"/>
    <n v="28597587"/>
    <n v="0"/>
    <n v="0"/>
    <n v="0"/>
    <n v="28597587"/>
  </r>
  <r>
    <x v="56"/>
    <n v="60"/>
    <n v="1000000"/>
    <n v="0"/>
    <n v="0"/>
    <n v="1000000"/>
    <n v="0"/>
  </r>
  <r>
    <x v="57"/>
    <n v="10"/>
    <n v="10000"/>
    <n v="0"/>
    <n v="0"/>
    <n v="0"/>
    <n v="10000"/>
  </r>
  <r>
    <x v="57"/>
    <n v="31"/>
    <n v="10781478"/>
    <n v="0"/>
    <n v="0"/>
    <n v="0"/>
    <n v="10781478"/>
  </r>
  <r>
    <x v="57"/>
    <n v="47"/>
    <n v="21000"/>
    <n v="0"/>
    <n v="0"/>
    <n v="21000"/>
    <n v="0"/>
  </r>
  <r>
    <x v="57"/>
    <n v="60"/>
    <n v="10200000"/>
    <n v="0"/>
    <n v="0"/>
    <n v="10200000"/>
    <n v="0"/>
  </r>
  <r>
    <x v="57"/>
    <n v="61"/>
    <n v="46542333"/>
    <n v="0"/>
    <n v="0"/>
    <n v="46542333"/>
    <n v="0"/>
  </r>
  <r>
    <x v="58"/>
    <n v="60"/>
    <n v="34623136"/>
    <n v="0"/>
    <n v="0"/>
    <n v="48556774"/>
    <n v="0"/>
  </r>
  <r>
    <x v="59"/>
    <n v="10"/>
    <n v="233718408"/>
    <n v="0"/>
    <n v="0"/>
    <n v="233618408"/>
    <n v="100000"/>
  </r>
  <r>
    <x v="59"/>
    <n v="60"/>
    <n v="216395269"/>
    <n v="0"/>
    <n v="0"/>
    <n v="656255053"/>
    <n v="0"/>
  </r>
  <r>
    <x v="60"/>
    <n v="10"/>
    <n v="1172263839"/>
    <n v="0"/>
    <n v="0"/>
    <n v="1172263839"/>
    <n v="0"/>
  </r>
  <r>
    <x v="60"/>
    <n v="60"/>
    <n v="156440212"/>
    <n v="0"/>
    <n v="0"/>
    <n v="156440212"/>
    <n v="0"/>
  </r>
  <r>
    <x v="61"/>
    <n v="10"/>
    <n v="2736218"/>
    <n v="0"/>
    <n v="0"/>
    <n v="0"/>
    <n v="2736218"/>
  </r>
  <r>
    <x v="61"/>
    <n v="36"/>
    <n v="6713007"/>
    <n v="0"/>
    <n v="0"/>
    <n v="6713007"/>
    <n v="0"/>
  </r>
  <r>
    <x v="61"/>
    <n v="60"/>
    <n v="2777437"/>
    <n v="0"/>
    <n v="0"/>
    <n v="2862618"/>
    <n v="0"/>
  </r>
  <r>
    <x v="62"/>
    <n v="10"/>
    <n v="126592806"/>
    <n v="0"/>
    <n v="0"/>
    <n v="0"/>
    <n v="126592806"/>
  </r>
  <r>
    <x v="62"/>
    <n v="25"/>
    <n v="797389093"/>
    <n v="0"/>
    <n v="0"/>
    <n v="0"/>
    <n v="797389093"/>
  </r>
  <r>
    <x v="62"/>
    <n v="47"/>
    <n v="1000"/>
    <n v="0"/>
    <n v="0"/>
    <n v="1884775"/>
    <n v="0"/>
  </r>
  <r>
    <x v="62"/>
    <n v="51"/>
    <n v="126225075"/>
    <n v="0"/>
    <n v="0"/>
    <n v="0"/>
    <n v="126225075"/>
  </r>
  <r>
    <x v="62"/>
    <n v="60"/>
    <n v="121885128"/>
    <n v="3000"/>
    <n v="0"/>
    <n v="121890069"/>
    <n v="0"/>
  </r>
  <r>
    <x v="62"/>
    <n v="70"/>
    <n v="57500000"/>
    <n v="0"/>
    <n v="0"/>
    <n v="57500000"/>
    <n v="0"/>
  </r>
  <r>
    <x v="63"/>
    <n v="10"/>
    <n v="254402987"/>
    <n v="0"/>
    <n v="0"/>
    <n v="35262000"/>
    <n v="219140987"/>
  </r>
  <r>
    <x v="63"/>
    <n v="60"/>
    <n v="9782575"/>
    <n v="0"/>
    <n v="96067"/>
    <n v="18096321"/>
    <n v="0"/>
  </r>
  <r>
    <x v="64"/>
    <n v="10"/>
    <n v="206887967"/>
    <n v="0"/>
    <n v="0"/>
    <n v="206887967"/>
    <n v="0"/>
  </r>
  <r>
    <x v="64"/>
    <n v="60"/>
    <n v="9802961"/>
    <n v="0"/>
    <n v="0"/>
    <n v="75613288"/>
    <n v="0"/>
  </r>
  <r>
    <x v="65"/>
    <n v="73"/>
    <n v="42000000"/>
    <n v="0"/>
    <n v="0"/>
    <n v="42000000"/>
    <n v="0"/>
  </r>
  <r>
    <x v="66"/>
    <n v="10"/>
    <n v="201458323"/>
    <n v="0"/>
    <n v="0"/>
    <n v="0"/>
    <n v="201458323"/>
  </r>
  <r>
    <x v="66"/>
    <n v="60"/>
    <n v="622800"/>
    <n v="0"/>
    <n v="0"/>
    <n v="622800"/>
    <n v="0"/>
  </r>
  <r>
    <x v="67"/>
    <n v="60"/>
    <n v="138014750"/>
    <n v="0"/>
    <n v="0"/>
    <n v="138014750"/>
    <n v="0"/>
  </r>
  <r>
    <x v="68"/>
    <n v="10"/>
    <n v="102325952"/>
    <n v="0"/>
    <n v="0"/>
    <n v="0"/>
    <n v="102325952"/>
  </r>
  <r>
    <x v="68"/>
    <n v="24"/>
    <n v="182766"/>
    <n v="0"/>
    <n v="0"/>
    <n v="182766"/>
    <n v="0"/>
  </r>
  <r>
    <x v="68"/>
    <n v="47"/>
    <n v="1000"/>
    <n v="0"/>
    <n v="0"/>
    <n v="100000"/>
    <n v="0"/>
  </r>
  <r>
    <x v="68"/>
    <n v="60"/>
    <n v="36799953"/>
    <n v="0"/>
    <n v="3197989"/>
    <n v="39997942"/>
    <n v="0"/>
  </r>
  <r>
    <x v="69"/>
    <n v="10"/>
    <n v="1243388"/>
    <n v="0"/>
    <n v="0"/>
    <n v="0"/>
    <n v="1243388"/>
  </r>
  <r>
    <x v="69"/>
    <n v="60"/>
    <n v="2065000"/>
    <n v="0"/>
    <n v="0"/>
    <n v="2065000"/>
    <n v="0"/>
  </r>
  <r>
    <x v="70"/>
    <n v="60"/>
    <n v="61179373"/>
    <n v="0"/>
    <n v="0"/>
    <n v="100348030"/>
    <n v="0"/>
  </r>
  <r>
    <x v="71"/>
    <n v="10"/>
    <n v="5801533"/>
    <n v="0"/>
    <n v="0"/>
    <n v="0"/>
    <n v="5801533"/>
  </r>
  <r>
    <x v="71"/>
    <n v="60"/>
    <n v="1029443"/>
    <n v="0"/>
    <n v="0"/>
    <n v="1050000"/>
    <n v="0"/>
  </r>
  <r>
    <x v="72"/>
    <n v="10"/>
    <n v="13983847"/>
    <n v="0"/>
    <n v="0"/>
    <n v="0"/>
    <n v="13983847"/>
  </r>
  <r>
    <x v="72"/>
    <n v="24"/>
    <n v="46507158"/>
    <n v="0"/>
    <n v="0"/>
    <n v="46507158"/>
    <n v="0"/>
  </r>
  <r>
    <x v="72"/>
    <n v="36"/>
    <n v="1000000"/>
    <n v="0"/>
    <n v="0"/>
    <n v="1000000"/>
    <n v="0"/>
  </r>
  <r>
    <x v="72"/>
    <n v="71"/>
    <n v="23491650"/>
    <n v="0"/>
    <n v="0"/>
    <n v="0"/>
    <n v="23491650"/>
  </r>
  <r>
    <x v="73"/>
    <n v="10"/>
    <n v="3929071"/>
    <n v="0"/>
    <n v="0"/>
    <n v="0"/>
    <n v="3929071"/>
  </r>
  <r>
    <x v="73"/>
    <n v="60"/>
    <n v="313950"/>
    <n v="0"/>
    <n v="0"/>
    <n v="480000"/>
    <n v="0"/>
  </r>
  <r>
    <x v="74"/>
    <n v="60"/>
    <n v="14079639"/>
    <n v="0"/>
    <n v="1245521"/>
    <n v="30705344"/>
    <n v="0"/>
  </r>
  <r>
    <x v="75"/>
    <n v="10"/>
    <n v="3574622"/>
    <n v="0"/>
    <n v="0"/>
    <n v="0"/>
    <n v="3574622"/>
  </r>
  <r>
    <x v="76"/>
    <n v="10"/>
    <n v="2992012"/>
    <n v="0"/>
    <n v="0"/>
    <n v="0"/>
    <n v="2992012"/>
  </r>
  <r>
    <x v="76"/>
    <n v="60"/>
    <n v="40000"/>
    <n v="0"/>
    <n v="0"/>
    <n v="40000"/>
    <n v="0"/>
  </r>
  <r>
    <x v="77"/>
    <n v="10"/>
    <n v="179838310"/>
    <n v="0"/>
    <n v="0"/>
    <n v="0"/>
    <n v="179838310"/>
  </r>
  <r>
    <x v="77"/>
    <n v="24"/>
    <n v="7000000"/>
    <n v="0"/>
    <n v="0"/>
    <n v="7000000"/>
    <n v="0"/>
  </r>
  <r>
    <x v="77"/>
    <n v="60"/>
    <n v="19246000"/>
    <n v="0"/>
    <n v="0"/>
    <n v="19246000"/>
    <n v="0"/>
  </r>
  <r>
    <x v="77"/>
    <n v="71"/>
    <n v="2080645"/>
    <n v="0"/>
    <n v="0"/>
    <n v="0"/>
    <n v="2080645"/>
  </r>
  <r>
    <x v="77"/>
    <n v="74"/>
    <n v="61000000"/>
    <n v="0"/>
    <n v="0"/>
    <n v="61000000"/>
    <n v="0"/>
  </r>
  <r>
    <x v="78"/>
    <n v="10"/>
    <n v="72523315"/>
    <n v="0"/>
    <n v="0"/>
    <n v="0"/>
    <n v="72523315"/>
  </r>
  <r>
    <x v="78"/>
    <n v="47"/>
    <n v="150000"/>
    <n v="0"/>
    <n v="0"/>
    <n v="150000"/>
    <n v="0"/>
  </r>
  <r>
    <x v="78"/>
    <n v="60"/>
    <n v="9207630"/>
    <n v="0"/>
    <n v="0"/>
    <n v="9207630"/>
    <n v="0"/>
  </r>
  <r>
    <x v="79"/>
    <n v="10"/>
    <n v="8589546"/>
    <n v="0"/>
    <n v="0"/>
    <n v="0"/>
    <n v="8589546"/>
  </r>
  <r>
    <x v="79"/>
    <n v="60"/>
    <n v="2319100"/>
    <n v="0"/>
    <n v="0"/>
    <n v="2319100"/>
    <n v="0"/>
  </r>
  <r>
    <x v="80"/>
    <n v="10"/>
    <n v="10000"/>
    <n v="0"/>
    <n v="0"/>
    <n v="0"/>
    <n v="10000"/>
  </r>
  <r>
    <x v="80"/>
    <n v="24"/>
    <n v="211435"/>
    <n v="0"/>
    <n v="0"/>
    <n v="211435"/>
    <n v="0"/>
  </r>
  <r>
    <x v="80"/>
    <n v="47"/>
    <n v="400000"/>
    <n v="0"/>
    <n v="0"/>
    <n v="400000"/>
    <n v="0"/>
  </r>
  <r>
    <x v="80"/>
    <n v="60"/>
    <n v="413226218"/>
    <n v="48254564"/>
    <n v="0"/>
    <n v="413226218"/>
    <n v="0"/>
  </r>
  <r>
    <x v="80"/>
    <n v="70"/>
    <n v="2945581"/>
    <n v="0"/>
    <n v="0"/>
    <n v="2945581"/>
    <n v="0"/>
  </r>
  <r>
    <x v="80"/>
    <n v="77"/>
    <n v="664108136"/>
    <n v="0"/>
    <n v="367500"/>
    <n v="664475636"/>
    <n v="0"/>
  </r>
  <r>
    <x v="81"/>
    <n v="60"/>
    <n v="1000"/>
    <n v="0"/>
    <n v="0"/>
    <n v="2870000"/>
    <n v="0"/>
  </r>
  <r>
    <x v="82"/>
    <n v="60"/>
    <n v="1000"/>
    <n v="0"/>
    <n v="0"/>
    <n v="19900000"/>
    <n v="0"/>
  </r>
  <r>
    <x v="83"/>
    <n v="10"/>
    <n v="850000"/>
    <n v="0"/>
    <n v="0"/>
    <n v="0"/>
    <n v="850000"/>
  </r>
  <r>
    <x v="83"/>
    <n v="45"/>
    <n v="5137061"/>
    <n v="0"/>
    <n v="0"/>
    <n v="5137061"/>
    <n v="0"/>
  </r>
  <r>
    <x v="84"/>
    <n v="10"/>
    <n v="60001000"/>
    <n v="0"/>
    <n v="0"/>
    <n v="0"/>
    <n v="60001000"/>
  </r>
  <r>
    <x v="84"/>
    <n v="59"/>
    <n v="140000000"/>
    <n v="0"/>
    <n v="0"/>
    <n v="140000000"/>
    <n v="0"/>
  </r>
  <r>
    <x v="84"/>
    <n v="60"/>
    <n v="44500000"/>
    <n v="0"/>
    <n v="0"/>
    <n v="44500000"/>
    <n v="0"/>
  </r>
  <r>
    <x v="85"/>
    <n v="60"/>
    <n v="3000"/>
    <n v="0"/>
    <n v="0"/>
    <n v="2024000"/>
    <n v="0"/>
  </r>
  <r>
    <x v="85"/>
    <n v="61"/>
    <n v="0"/>
    <n v="0"/>
    <n v="176000"/>
    <n v="176000"/>
    <n v="0"/>
  </r>
  <r>
    <x v="86"/>
    <n v="60"/>
    <n v="35000000"/>
    <n v="0"/>
    <n v="0"/>
    <n v="35000000"/>
    <n v="0"/>
  </r>
  <r>
    <x v="87"/>
    <n v="39"/>
    <n v="843250"/>
    <n v="0"/>
    <n v="0"/>
    <n v="2500000"/>
    <n v="0"/>
  </r>
  <r>
    <x v="88"/>
    <n v="60"/>
    <n v="1000"/>
    <n v="0"/>
    <n v="0"/>
    <n v="2000"/>
    <n v="0"/>
  </r>
  <r>
    <x v="89"/>
    <n v="60"/>
    <n v="1000"/>
    <n v="0"/>
    <n v="0"/>
    <n v="2000"/>
    <n v="0"/>
  </r>
  <r>
    <x v="90"/>
    <n v="10"/>
    <n v="15455"/>
    <n v="0"/>
    <n v="0"/>
    <n v="0"/>
    <n v="15455"/>
  </r>
  <r>
    <x v="90"/>
    <n v="29"/>
    <n v="71825"/>
    <n v="0"/>
    <n v="0"/>
    <n v="0"/>
    <n v="71825"/>
  </r>
  <r>
    <x v="90"/>
    <n v="56"/>
    <n v="6500000"/>
    <n v="0"/>
    <n v="0"/>
    <n v="6500000"/>
    <n v="0"/>
  </r>
  <r>
    <x v="90"/>
    <n v="71"/>
    <n v="93782461"/>
    <n v="0"/>
    <n v="0"/>
    <n v="0"/>
    <n v="93782461"/>
  </r>
  <r>
    <x v="91"/>
    <n v="10"/>
    <n v="5121161605"/>
    <n v="0"/>
    <n v="0"/>
    <n v="0"/>
    <n v="5121161605"/>
  </r>
  <r>
    <x v="91"/>
    <n v="22"/>
    <n v="900477915"/>
    <n v="0"/>
    <n v="0"/>
    <n v="900477915"/>
    <n v="0"/>
  </r>
  <r>
    <x v="91"/>
    <n v="29"/>
    <n v="1229991"/>
    <n v="0"/>
    <n v="0"/>
    <n v="0"/>
    <n v="1229991"/>
  </r>
  <r>
    <x v="91"/>
    <n v="55"/>
    <n v="22757177"/>
    <n v="0"/>
    <n v="0"/>
    <n v="22757177"/>
    <n v="0"/>
  </r>
  <r>
    <x v="91"/>
    <n v="60"/>
    <n v="704500"/>
    <n v="0"/>
    <n v="0"/>
    <n v="3322058"/>
    <n v="0"/>
  </r>
  <r>
    <x v="91"/>
    <n v="84"/>
    <n v="10832450"/>
    <n v="0"/>
    <n v="0"/>
    <n v="10832450"/>
    <n v="0"/>
  </r>
  <r>
    <x v="91"/>
    <n v="85"/>
    <n v="61563924"/>
    <n v="0"/>
    <n v="0"/>
    <n v="61563924"/>
    <n v="0"/>
  </r>
  <r>
    <x v="91"/>
    <n v="86"/>
    <n v="194400568"/>
    <n v="0"/>
    <n v="0"/>
    <n v="194400568"/>
    <n v="0"/>
  </r>
  <r>
    <x v="91"/>
    <n v="87"/>
    <n v="16786537"/>
    <n v="0"/>
    <n v="0"/>
    <n v="16786537"/>
    <n v="0"/>
  </r>
  <r>
    <x v="92"/>
    <n v="10"/>
    <n v="11050"/>
    <n v="0"/>
    <n v="0"/>
    <n v="0"/>
    <n v="11050"/>
  </r>
  <r>
    <x v="93"/>
    <n v="10"/>
    <n v="5000000"/>
    <n v="0"/>
    <n v="0"/>
    <n v="0"/>
    <n v="5000000"/>
  </r>
  <r>
    <x v="93"/>
    <n v="59"/>
    <n v="5000000"/>
    <n v="0"/>
    <n v="0"/>
    <n v="5000000"/>
    <n v="0"/>
  </r>
  <r>
    <x v="94"/>
    <n v="10"/>
    <n v="30000"/>
    <n v="0"/>
    <n v="0"/>
    <n v="0"/>
    <n v="30000"/>
  </r>
  <r>
    <x v="94"/>
    <n v="31"/>
    <n v="67707426"/>
    <n v="0"/>
    <n v="0"/>
    <n v="0"/>
    <n v="67707426"/>
  </r>
  <r>
    <x v="94"/>
    <n v="32"/>
    <n v="23454745"/>
    <n v="0"/>
    <n v="0"/>
    <n v="0"/>
    <n v="23454745"/>
  </r>
  <r>
    <x v="94"/>
    <n v="60"/>
    <n v="630000"/>
    <n v="0"/>
    <n v="0"/>
    <n v="630000"/>
    <n v="0"/>
  </r>
  <r>
    <x v="95"/>
    <n v="25"/>
    <n v="107094699"/>
    <n v="0"/>
    <n v="0"/>
    <n v="0"/>
    <n v="107094699"/>
  </r>
  <r>
    <x v="95"/>
    <n v="54"/>
    <n v="2920625"/>
    <n v="0"/>
    <n v="1120"/>
    <n v="2921745"/>
    <n v="0"/>
  </r>
  <r>
    <x v="95"/>
    <n v="60"/>
    <n v="3637169"/>
    <n v="0"/>
    <n v="1000"/>
    <n v="60038932"/>
    <n v="0"/>
  </r>
  <r>
    <x v="95"/>
    <n v="83"/>
    <n v="10739451"/>
    <n v="0"/>
    <n v="10500000"/>
    <n v="108043615"/>
    <n v="0"/>
  </r>
  <r>
    <x v="96"/>
    <n v="10"/>
    <n v="10000"/>
    <n v="0"/>
    <n v="0"/>
    <n v="0"/>
    <n v="10000"/>
  </r>
  <r>
    <x v="96"/>
    <n v="39"/>
    <n v="1349107"/>
    <n v="0"/>
    <n v="0"/>
    <n v="1349107"/>
    <n v="0"/>
  </r>
  <r>
    <x v="97"/>
    <n v="60"/>
    <n v="9125000"/>
    <n v="0"/>
    <n v="0"/>
    <n v="9125000"/>
    <n v="0"/>
  </r>
  <r>
    <x v="98"/>
    <n v="60"/>
    <n v="9197000"/>
    <n v="0"/>
    <n v="0"/>
    <n v="9197000"/>
    <n v="0"/>
  </r>
  <r>
    <x v="99"/>
    <n v="42"/>
    <n v="1656079523"/>
    <n v="0"/>
    <n v="720677089"/>
    <n v="2376756612"/>
    <n v="0"/>
  </r>
  <r>
    <x v="99"/>
    <n v="43"/>
    <n v="1081106533"/>
    <n v="0"/>
    <n v="480525067"/>
    <n v="1561631600"/>
    <n v="0"/>
  </r>
  <r>
    <x v="99"/>
    <n v="44"/>
    <n v="45112405"/>
    <n v="0"/>
    <n v="0"/>
    <n v="45112405"/>
    <n v="0"/>
  </r>
  <r>
    <x v="99"/>
    <n v="58"/>
    <n v="6422783762"/>
    <n v="0"/>
    <n v="855934998"/>
    <n v="7278718760"/>
    <n v="0"/>
  </r>
  <r>
    <x v="99"/>
    <n v="60"/>
    <n v="11972109"/>
    <n v="0"/>
    <n v="0"/>
    <n v="11972109"/>
    <n v="0"/>
  </r>
  <r>
    <x v="99"/>
    <n v="81"/>
    <n v="387000000"/>
    <n v="0"/>
    <n v="0"/>
    <n v="387000000"/>
    <n v="0"/>
  </r>
  <r>
    <x v="100"/>
    <n v="10"/>
    <n v="1050"/>
    <n v="0"/>
    <n v="0"/>
    <n v="0"/>
    <n v="1050"/>
  </r>
  <r>
    <x v="101"/>
    <n v="10"/>
    <n v="10000000"/>
    <n v="0"/>
    <n v="0"/>
    <n v="0"/>
    <n v="10000000"/>
  </r>
  <r>
    <x v="101"/>
    <n v="60"/>
    <n v="21000"/>
    <n v="0"/>
    <n v="0"/>
    <n v="21000"/>
    <n v="0"/>
  </r>
  <r>
    <x v="101"/>
    <n v="61"/>
    <n v="0"/>
    <n v="88000"/>
    <n v="0"/>
    <n v="0"/>
    <n v="0"/>
  </r>
  <r>
    <x v="102"/>
    <n v="60"/>
    <n v="1000"/>
    <n v="0"/>
    <n v="0"/>
    <n v="401000"/>
    <n v="0"/>
  </r>
  <r>
    <x v="103"/>
    <n v="60"/>
    <n v="1800000"/>
    <n v="0"/>
    <n v="0"/>
    <n v="247600000"/>
    <n v="0"/>
  </r>
  <r>
    <x v="104"/>
    <n v="10"/>
    <n v="1000"/>
    <n v="0"/>
    <n v="0"/>
    <n v="0"/>
    <n v="1000"/>
  </r>
  <r>
    <x v="105"/>
    <n v="60"/>
    <n v="31513500"/>
    <n v="0"/>
    <n v="0"/>
    <n v="31513500"/>
    <n v="0"/>
  </r>
  <r>
    <x v="106"/>
    <n v="60"/>
    <n v="51403152"/>
    <n v="0"/>
    <n v="0"/>
    <n v="51403152"/>
    <n v="0"/>
  </r>
  <r>
    <x v="107"/>
    <n v="10"/>
    <n v="1050"/>
    <n v="0"/>
    <n v="0"/>
    <n v="0"/>
    <n v="1050"/>
  </r>
  <r>
    <x v="108"/>
    <n v="10"/>
    <n v="1050"/>
    <n v="0"/>
    <n v="0"/>
    <n v="0"/>
    <n v="1050"/>
  </r>
  <r>
    <x v="109"/>
    <n v="45"/>
    <n v="50000"/>
    <n v="0"/>
    <n v="0"/>
    <n v="50000"/>
    <n v="0"/>
  </r>
  <r>
    <x v="110"/>
    <n v="10"/>
    <n v="0"/>
    <n v="0"/>
    <n v="0"/>
    <n v="35204946219"/>
    <n v="0"/>
  </r>
  <r>
    <x v="110"/>
    <n v="12"/>
    <n v="0"/>
    <n v="0"/>
    <n v="0"/>
    <n v="3217"/>
    <n v="0"/>
  </r>
  <r>
    <x v="110"/>
    <n v="20"/>
    <n v="0"/>
    <n v="0"/>
    <n v="0"/>
    <n v="12803385236"/>
    <n v="0"/>
  </r>
  <r>
    <x v="110"/>
    <n v="23"/>
    <n v="0"/>
    <n v="0"/>
    <n v="0"/>
    <n v="6921534461"/>
    <n v="0"/>
  </r>
  <r>
    <x v="110"/>
    <n v="25"/>
    <n v="0"/>
    <n v="0"/>
    <n v="0"/>
    <n v="2093321852"/>
    <n v="0"/>
  </r>
  <r>
    <x v="110"/>
    <n v="27"/>
    <n v="0"/>
    <n v="0"/>
    <n v="0"/>
    <n v="1409385755"/>
    <n v="0"/>
  </r>
  <r>
    <x v="110"/>
    <n v="29"/>
    <n v="0"/>
    <n v="0"/>
    <n v="0"/>
    <n v="15114340"/>
    <n v="0"/>
  </r>
  <r>
    <x v="110"/>
    <n v="30"/>
    <n v="0"/>
    <n v="0"/>
    <n v="0"/>
    <n v="153125616"/>
    <n v="0"/>
  </r>
  <r>
    <x v="110"/>
    <n v="31"/>
    <n v="0"/>
    <n v="0"/>
    <n v="0"/>
    <n v="135414851"/>
    <n v="0"/>
  </r>
  <r>
    <x v="110"/>
    <n v="32"/>
    <n v="0"/>
    <n v="0"/>
    <n v="0"/>
    <n v="178518781"/>
    <n v="0"/>
  </r>
  <r>
    <x v="110"/>
    <n v="33"/>
    <n v="0"/>
    <n v="0"/>
    <n v="0"/>
    <n v="14052638"/>
    <n v="0"/>
  </r>
  <r>
    <x v="110"/>
    <n v="40"/>
    <n v="0"/>
    <n v="0"/>
    <n v="0"/>
    <n v="6306602"/>
    <n v="0"/>
  </r>
  <r>
    <x v="110"/>
    <n v="48"/>
    <n v="0"/>
    <n v="0"/>
    <n v="0"/>
    <n v="1288827"/>
    <n v="0"/>
  </r>
  <r>
    <x v="110"/>
    <n v="51"/>
    <n v="0"/>
    <n v="0"/>
    <n v="0"/>
    <n v="168255108"/>
    <n v="0"/>
  </r>
  <r>
    <x v="110"/>
    <n v="53"/>
    <n v="0"/>
    <n v="0"/>
    <n v="0"/>
    <n v="82159850"/>
    <n v="0"/>
  </r>
  <r>
    <x v="110"/>
    <n v="71"/>
    <n v="0"/>
    <n v="0"/>
    <n v="0"/>
    <n v="233625552"/>
    <n v="0"/>
  </r>
  <r>
    <x v="110"/>
    <n v="72"/>
    <n v="0"/>
    <n v="0"/>
    <n v="0"/>
    <n v="297642759"/>
    <n v="0"/>
  </r>
  <r>
    <x v="110"/>
    <n v="75"/>
    <n v="0"/>
    <n v="0"/>
    <n v="0"/>
    <n v="347888326"/>
    <n v="0"/>
  </r>
  <r>
    <x v="110"/>
    <n v="82"/>
    <n v="0"/>
    <n v="0"/>
    <n v="0"/>
    <n v="7501280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J4:M116" firstHeaderRow="0" firstDataRow="1" firstDataCol="1"/>
  <pivotFields count="7">
    <pivotField axis="axisRow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L_REPASSE" fld="4" baseField="0" baseItem="0"/>
    <dataField name="Soma de VL_RECEITA" fld="5" baseField="0" baseItem="0"/>
    <dataField name="Soma de REPASSE_TESOUR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4"/>
  <sheetViews>
    <sheetView topLeftCell="D86" workbookViewId="0">
      <selection activeCell="J4" sqref="J4:M116"/>
    </sheetView>
  </sheetViews>
  <sheetFormatPr defaultRowHeight="15" x14ac:dyDescent="0.25"/>
  <cols>
    <col min="1" max="1" width="10.85546875" bestFit="1" customWidth="1"/>
    <col min="2" max="2" width="14" bestFit="1" customWidth="1"/>
    <col min="3" max="3" width="30.42578125" bestFit="1" customWidth="1"/>
    <col min="4" max="4" width="23.42578125" bestFit="1" customWidth="1"/>
    <col min="5" max="5" width="14" bestFit="1" customWidth="1"/>
    <col min="6" max="6" width="13.5703125" bestFit="1" customWidth="1"/>
    <col min="7" max="7" width="20.42578125" bestFit="1" customWidth="1"/>
    <col min="9" max="9" width="11" bestFit="1" customWidth="1"/>
    <col min="10" max="10" width="18" bestFit="1" customWidth="1"/>
    <col min="11" max="11" width="20" bestFit="1" customWidth="1"/>
    <col min="12" max="12" width="19.5703125" bestFit="1" customWidth="1"/>
    <col min="13" max="13" width="2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25">
      <c r="A2">
        <v>1011</v>
      </c>
      <c r="B2">
        <v>10</v>
      </c>
      <c r="C2">
        <v>954009268</v>
      </c>
      <c r="D2">
        <v>0</v>
      </c>
      <c r="E2">
        <v>0</v>
      </c>
      <c r="F2">
        <v>0</v>
      </c>
      <c r="G2">
        <v>954009268</v>
      </c>
    </row>
    <row r="3" spans="1:14" x14ac:dyDescent="0.25">
      <c r="A3">
        <v>1011</v>
      </c>
      <c r="B3">
        <v>42</v>
      </c>
      <c r="C3">
        <v>56652270</v>
      </c>
      <c r="D3">
        <v>0</v>
      </c>
      <c r="E3">
        <v>0</v>
      </c>
      <c r="F3">
        <v>0</v>
      </c>
      <c r="G3">
        <v>56652270</v>
      </c>
    </row>
    <row r="4" spans="1:14" x14ac:dyDescent="0.25">
      <c r="A4">
        <v>1011</v>
      </c>
      <c r="B4">
        <v>43</v>
      </c>
      <c r="C4">
        <v>52532386</v>
      </c>
      <c r="D4">
        <v>0</v>
      </c>
      <c r="E4">
        <v>0</v>
      </c>
      <c r="F4">
        <v>0</v>
      </c>
      <c r="G4">
        <v>52532386</v>
      </c>
      <c r="J4" s="2" t="s">
        <v>7</v>
      </c>
      <c r="K4" t="s">
        <v>9</v>
      </c>
      <c r="L4" t="s">
        <v>10</v>
      </c>
      <c r="M4" t="s">
        <v>11</v>
      </c>
      <c r="N4" t="s">
        <v>12</v>
      </c>
    </row>
    <row r="5" spans="1:14" x14ac:dyDescent="0.25">
      <c r="A5">
        <v>1011</v>
      </c>
      <c r="B5">
        <v>58</v>
      </c>
      <c r="C5">
        <v>201998068</v>
      </c>
      <c r="D5">
        <v>0</v>
      </c>
      <c r="E5">
        <v>0</v>
      </c>
      <c r="F5">
        <v>0</v>
      </c>
      <c r="G5">
        <v>201998068</v>
      </c>
      <c r="J5" s="3">
        <v>1011</v>
      </c>
      <c r="K5" s="4">
        <v>0</v>
      </c>
      <c r="L5" s="4">
        <v>2200000</v>
      </c>
      <c r="M5" s="4">
        <v>1265191992</v>
      </c>
    </row>
    <row r="6" spans="1:14" x14ac:dyDescent="0.25">
      <c r="A6">
        <v>1011</v>
      </c>
      <c r="B6">
        <v>60</v>
      </c>
      <c r="C6">
        <v>2200000</v>
      </c>
      <c r="D6">
        <v>0</v>
      </c>
      <c r="E6">
        <v>0</v>
      </c>
      <c r="F6">
        <v>2200000</v>
      </c>
      <c r="G6">
        <v>0</v>
      </c>
      <c r="J6" s="3">
        <v>1021</v>
      </c>
      <c r="K6" s="4">
        <v>0</v>
      </c>
      <c r="L6" s="4">
        <v>3757333</v>
      </c>
      <c r="M6" s="4">
        <v>730078008</v>
      </c>
    </row>
    <row r="7" spans="1:14" x14ac:dyDescent="0.25">
      <c r="A7">
        <v>1021</v>
      </c>
      <c r="B7">
        <v>10</v>
      </c>
      <c r="C7">
        <v>574944593</v>
      </c>
      <c r="D7">
        <v>0</v>
      </c>
      <c r="E7">
        <v>0</v>
      </c>
      <c r="F7">
        <v>0</v>
      </c>
      <c r="G7">
        <v>574944593</v>
      </c>
      <c r="J7" s="3">
        <v>1031</v>
      </c>
      <c r="K7" s="4">
        <v>47474564</v>
      </c>
      <c r="L7" s="4">
        <v>47474564</v>
      </c>
      <c r="M7" s="4">
        <v>4276580905</v>
      </c>
    </row>
    <row r="8" spans="1:14" x14ac:dyDescent="0.25">
      <c r="A8">
        <v>1021</v>
      </c>
      <c r="B8">
        <v>42</v>
      </c>
      <c r="C8">
        <v>69855140</v>
      </c>
      <c r="D8">
        <v>0</v>
      </c>
      <c r="E8">
        <v>0</v>
      </c>
      <c r="F8">
        <v>0</v>
      </c>
      <c r="G8">
        <v>69855140</v>
      </c>
      <c r="J8" s="3">
        <v>1051</v>
      </c>
      <c r="K8" s="4">
        <v>0</v>
      </c>
      <c r="L8" s="4">
        <v>770000</v>
      </c>
      <c r="M8" s="4">
        <v>52525022</v>
      </c>
    </row>
    <row r="9" spans="1:14" x14ac:dyDescent="0.25">
      <c r="A9">
        <v>1021</v>
      </c>
      <c r="B9">
        <v>43</v>
      </c>
      <c r="C9">
        <v>46384417</v>
      </c>
      <c r="D9">
        <v>0</v>
      </c>
      <c r="E9">
        <v>0</v>
      </c>
      <c r="F9">
        <v>0</v>
      </c>
      <c r="G9">
        <v>46384417</v>
      </c>
      <c r="J9" s="3">
        <v>1071</v>
      </c>
      <c r="K9" s="4">
        <v>0</v>
      </c>
      <c r="L9" s="4">
        <v>0</v>
      </c>
      <c r="M9" s="4">
        <v>24774647</v>
      </c>
    </row>
    <row r="10" spans="1:14" x14ac:dyDescent="0.25">
      <c r="A10">
        <v>1021</v>
      </c>
      <c r="B10">
        <v>58</v>
      </c>
      <c r="C10">
        <v>38893858</v>
      </c>
      <c r="D10">
        <v>0</v>
      </c>
      <c r="E10">
        <v>0</v>
      </c>
      <c r="F10">
        <v>0</v>
      </c>
      <c r="G10">
        <v>38893858</v>
      </c>
      <c r="J10" s="3">
        <v>1081</v>
      </c>
      <c r="K10" s="4">
        <v>0</v>
      </c>
      <c r="L10" s="4">
        <v>0</v>
      </c>
      <c r="M10" s="4">
        <v>962815914</v>
      </c>
    </row>
    <row r="11" spans="1:14" x14ac:dyDescent="0.25">
      <c r="A11">
        <v>1021</v>
      </c>
      <c r="B11">
        <v>60</v>
      </c>
      <c r="C11">
        <v>3757333</v>
      </c>
      <c r="D11">
        <v>0</v>
      </c>
      <c r="E11">
        <v>0</v>
      </c>
      <c r="F11">
        <v>3757333</v>
      </c>
      <c r="G11">
        <v>0</v>
      </c>
      <c r="J11" s="3">
        <v>1091</v>
      </c>
      <c r="K11" s="4">
        <v>0</v>
      </c>
      <c r="L11" s="4">
        <v>16780000</v>
      </c>
      <c r="M11" s="4">
        <v>1845619199</v>
      </c>
    </row>
    <row r="12" spans="1:14" x14ac:dyDescent="0.25">
      <c r="A12">
        <v>1031</v>
      </c>
      <c r="B12">
        <v>10</v>
      </c>
      <c r="C12">
        <v>3112919222</v>
      </c>
      <c r="D12">
        <v>0</v>
      </c>
      <c r="E12">
        <v>0</v>
      </c>
      <c r="F12">
        <v>0</v>
      </c>
      <c r="G12">
        <v>3112919222</v>
      </c>
      <c r="J12" s="3">
        <v>1101</v>
      </c>
      <c r="K12" s="4">
        <v>0</v>
      </c>
      <c r="L12" s="4">
        <v>0</v>
      </c>
      <c r="M12" s="4">
        <v>6066332</v>
      </c>
    </row>
    <row r="13" spans="1:14" x14ac:dyDescent="0.25">
      <c r="A13">
        <v>1031</v>
      </c>
      <c r="B13">
        <v>42</v>
      </c>
      <c r="C13">
        <v>428351284</v>
      </c>
      <c r="D13">
        <v>0</v>
      </c>
      <c r="E13">
        <v>0</v>
      </c>
      <c r="F13">
        <v>0</v>
      </c>
      <c r="G13">
        <v>428351284</v>
      </c>
      <c r="J13" s="3">
        <v>1111</v>
      </c>
      <c r="K13" s="4">
        <v>0</v>
      </c>
      <c r="L13" s="4">
        <v>0</v>
      </c>
      <c r="M13" s="4">
        <v>1642325</v>
      </c>
    </row>
    <row r="14" spans="1:14" x14ac:dyDescent="0.25">
      <c r="A14">
        <v>1031</v>
      </c>
      <c r="B14">
        <v>43</v>
      </c>
      <c r="C14">
        <v>279299438</v>
      </c>
      <c r="D14">
        <v>0</v>
      </c>
      <c r="E14">
        <v>0</v>
      </c>
      <c r="F14">
        <v>0</v>
      </c>
      <c r="G14">
        <v>279299438</v>
      </c>
      <c r="J14" s="3">
        <v>1191</v>
      </c>
      <c r="K14" s="4">
        <v>0</v>
      </c>
      <c r="L14" s="4">
        <v>0</v>
      </c>
      <c r="M14" s="4">
        <v>1151092095</v>
      </c>
    </row>
    <row r="15" spans="1:14" x14ac:dyDescent="0.25">
      <c r="A15">
        <v>1031</v>
      </c>
      <c r="B15">
        <v>58</v>
      </c>
      <c r="C15">
        <v>456010961</v>
      </c>
      <c r="D15">
        <v>0</v>
      </c>
      <c r="E15">
        <v>0</v>
      </c>
      <c r="F15">
        <v>0</v>
      </c>
      <c r="G15">
        <v>456010961</v>
      </c>
      <c r="J15" s="3">
        <v>1221</v>
      </c>
      <c r="K15" s="4">
        <v>0</v>
      </c>
      <c r="L15" s="4">
        <v>0</v>
      </c>
      <c r="M15" s="4">
        <v>18946341</v>
      </c>
    </row>
    <row r="16" spans="1:14" x14ac:dyDescent="0.25">
      <c r="A16">
        <v>1031</v>
      </c>
      <c r="B16">
        <v>60</v>
      </c>
      <c r="C16">
        <v>0</v>
      </c>
      <c r="D16">
        <v>0</v>
      </c>
      <c r="E16">
        <v>47474564</v>
      </c>
      <c r="F16">
        <v>47474564</v>
      </c>
      <c r="G16">
        <v>0</v>
      </c>
      <c r="J16" s="3">
        <v>1231</v>
      </c>
      <c r="K16" s="4">
        <v>0</v>
      </c>
      <c r="L16" s="4">
        <v>0</v>
      </c>
      <c r="M16" s="4">
        <v>24139990</v>
      </c>
    </row>
    <row r="17" spans="1:13" x14ac:dyDescent="0.25">
      <c r="A17">
        <v>1051</v>
      </c>
      <c r="B17">
        <v>10</v>
      </c>
      <c r="C17">
        <v>42379000</v>
      </c>
      <c r="D17">
        <v>0</v>
      </c>
      <c r="E17">
        <v>0</v>
      </c>
      <c r="F17">
        <v>0</v>
      </c>
      <c r="G17">
        <v>42379000</v>
      </c>
      <c r="J17" s="3">
        <v>1251</v>
      </c>
      <c r="K17" s="4">
        <v>0</v>
      </c>
      <c r="L17" s="4">
        <v>29894248</v>
      </c>
      <c r="M17" s="4">
        <v>9990416644</v>
      </c>
    </row>
    <row r="18" spans="1:13" x14ac:dyDescent="0.25">
      <c r="A18">
        <v>1051</v>
      </c>
      <c r="B18">
        <v>42</v>
      </c>
      <c r="C18">
        <v>3503021</v>
      </c>
      <c r="D18">
        <v>0</v>
      </c>
      <c r="E18">
        <v>0</v>
      </c>
      <c r="F18">
        <v>0</v>
      </c>
      <c r="G18">
        <v>3503021</v>
      </c>
      <c r="J18" s="3">
        <v>1261</v>
      </c>
      <c r="K18" s="4">
        <v>0</v>
      </c>
      <c r="L18" s="4">
        <v>813020000</v>
      </c>
      <c r="M18" s="4">
        <v>9253032039</v>
      </c>
    </row>
    <row r="19" spans="1:13" x14ac:dyDescent="0.25">
      <c r="A19">
        <v>1051</v>
      </c>
      <c r="B19">
        <v>43</v>
      </c>
      <c r="C19">
        <v>2447001</v>
      </c>
      <c r="D19">
        <v>0</v>
      </c>
      <c r="E19">
        <v>0</v>
      </c>
      <c r="F19">
        <v>0</v>
      </c>
      <c r="G19">
        <v>2447001</v>
      </c>
      <c r="J19" s="3">
        <v>1271</v>
      </c>
      <c r="K19" s="4">
        <v>0</v>
      </c>
      <c r="L19" s="4">
        <v>1013500</v>
      </c>
      <c r="M19" s="4">
        <v>55197175</v>
      </c>
    </row>
    <row r="20" spans="1:13" x14ac:dyDescent="0.25">
      <c r="A20">
        <v>1051</v>
      </c>
      <c r="B20">
        <v>58</v>
      </c>
      <c r="C20">
        <v>4196000</v>
      </c>
      <c r="D20">
        <v>0</v>
      </c>
      <c r="E20">
        <v>0</v>
      </c>
      <c r="F20">
        <v>0</v>
      </c>
      <c r="G20">
        <v>4196000</v>
      </c>
      <c r="J20" s="3">
        <v>1301</v>
      </c>
      <c r="K20" s="4">
        <v>0</v>
      </c>
      <c r="L20" s="4">
        <v>5745703</v>
      </c>
      <c r="M20" s="4">
        <v>163685022</v>
      </c>
    </row>
    <row r="21" spans="1:13" x14ac:dyDescent="0.25">
      <c r="A21">
        <v>1051</v>
      </c>
      <c r="B21">
        <v>60</v>
      </c>
      <c r="C21">
        <v>770000</v>
      </c>
      <c r="D21">
        <v>0</v>
      </c>
      <c r="E21">
        <v>0</v>
      </c>
      <c r="F21">
        <v>770000</v>
      </c>
      <c r="G21">
        <v>0</v>
      </c>
      <c r="J21" s="3">
        <v>1371</v>
      </c>
      <c r="K21" s="4">
        <v>0</v>
      </c>
      <c r="L21" s="4">
        <v>750000</v>
      </c>
      <c r="M21" s="4">
        <v>125177898</v>
      </c>
    </row>
    <row r="22" spans="1:13" x14ac:dyDescent="0.25">
      <c r="A22">
        <v>1071</v>
      </c>
      <c r="B22">
        <v>10</v>
      </c>
      <c r="C22">
        <v>24774647</v>
      </c>
      <c r="D22">
        <v>0</v>
      </c>
      <c r="E22">
        <v>0</v>
      </c>
      <c r="F22">
        <v>0</v>
      </c>
      <c r="G22">
        <v>24774647</v>
      </c>
      <c r="J22" s="3">
        <v>1401</v>
      </c>
      <c r="K22" s="4">
        <v>0</v>
      </c>
      <c r="L22" s="4">
        <v>9045749</v>
      </c>
      <c r="M22" s="4">
        <v>1056264154</v>
      </c>
    </row>
    <row r="23" spans="1:13" x14ac:dyDescent="0.25">
      <c r="A23">
        <v>1081</v>
      </c>
      <c r="B23">
        <v>10</v>
      </c>
      <c r="C23">
        <v>962815914</v>
      </c>
      <c r="D23">
        <v>0</v>
      </c>
      <c r="E23">
        <v>0</v>
      </c>
      <c r="F23">
        <v>0</v>
      </c>
      <c r="G23">
        <v>962815914</v>
      </c>
      <c r="J23" s="3">
        <v>1411</v>
      </c>
      <c r="K23" s="4">
        <v>0</v>
      </c>
      <c r="L23" s="4">
        <v>0</v>
      </c>
      <c r="M23" s="4">
        <v>11687745</v>
      </c>
    </row>
    <row r="24" spans="1:13" x14ac:dyDescent="0.25">
      <c r="A24">
        <v>1091</v>
      </c>
      <c r="B24">
        <v>10</v>
      </c>
      <c r="C24">
        <v>1529869199</v>
      </c>
      <c r="D24">
        <v>0</v>
      </c>
      <c r="E24">
        <v>0</v>
      </c>
      <c r="F24">
        <v>4880000</v>
      </c>
      <c r="G24">
        <v>1524989199</v>
      </c>
      <c r="J24" s="3">
        <v>1441</v>
      </c>
      <c r="K24" s="4">
        <v>0</v>
      </c>
      <c r="L24" s="4">
        <v>3370000</v>
      </c>
      <c r="M24" s="4">
        <v>409156860</v>
      </c>
    </row>
    <row r="25" spans="1:13" x14ac:dyDescent="0.25">
      <c r="A25">
        <v>1091</v>
      </c>
      <c r="B25">
        <v>24</v>
      </c>
      <c r="C25">
        <v>2480000</v>
      </c>
      <c r="D25">
        <v>0</v>
      </c>
      <c r="E25">
        <v>0</v>
      </c>
      <c r="F25">
        <v>2480000</v>
      </c>
      <c r="G25">
        <v>0</v>
      </c>
      <c r="J25" s="3">
        <v>1451</v>
      </c>
      <c r="K25" s="4">
        <v>0</v>
      </c>
      <c r="L25" s="4">
        <v>97939177</v>
      </c>
      <c r="M25" s="4">
        <v>2060086882</v>
      </c>
    </row>
    <row r="26" spans="1:13" x14ac:dyDescent="0.25">
      <c r="A26">
        <v>1091</v>
      </c>
      <c r="B26">
        <v>30</v>
      </c>
      <c r="C26" s="1">
        <v>100000</v>
      </c>
      <c r="D26">
        <v>0</v>
      </c>
      <c r="E26">
        <v>0</v>
      </c>
      <c r="F26" s="1">
        <v>100000</v>
      </c>
      <c r="G26">
        <v>0</v>
      </c>
      <c r="J26" s="3">
        <v>1461</v>
      </c>
      <c r="K26" s="4">
        <v>0</v>
      </c>
      <c r="L26" s="4">
        <v>0</v>
      </c>
      <c r="M26" s="4">
        <v>11693806</v>
      </c>
    </row>
    <row r="27" spans="1:13" x14ac:dyDescent="0.25">
      <c r="A27">
        <v>1091</v>
      </c>
      <c r="B27">
        <v>42</v>
      </c>
      <c r="C27">
        <v>162315374</v>
      </c>
      <c r="D27">
        <v>0</v>
      </c>
      <c r="E27">
        <v>0</v>
      </c>
      <c r="F27">
        <v>0</v>
      </c>
      <c r="G27">
        <v>162315374</v>
      </c>
      <c r="J27" s="3">
        <v>1471</v>
      </c>
      <c r="K27" s="4">
        <v>0</v>
      </c>
      <c r="L27" s="4">
        <v>39165542</v>
      </c>
      <c r="M27" s="4">
        <v>33614902</v>
      </c>
    </row>
    <row r="28" spans="1:13" x14ac:dyDescent="0.25">
      <c r="A28">
        <v>1091</v>
      </c>
      <c r="B28">
        <v>43</v>
      </c>
      <c r="C28">
        <v>99861825</v>
      </c>
      <c r="D28">
        <v>0</v>
      </c>
      <c r="E28">
        <v>0</v>
      </c>
      <c r="F28">
        <v>0</v>
      </c>
      <c r="G28">
        <v>99861825</v>
      </c>
      <c r="J28" s="3">
        <v>1481</v>
      </c>
      <c r="K28" s="4">
        <v>0</v>
      </c>
      <c r="L28" s="4">
        <v>15938193</v>
      </c>
      <c r="M28" s="4">
        <v>60684586</v>
      </c>
    </row>
    <row r="29" spans="1:13" x14ac:dyDescent="0.25">
      <c r="A29">
        <v>1091</v>
      </c>
      <c r="B29">
        <v>47</v>
      </c>
      <c r="C29">
        <v>840000</v>
      </c>
      <c r="D29">
        <v>0</v>
      </c>
      <c r="E29">
        <v>0</v>
      </c>
      <c r="F29">
        <v>840000</v>
      </c>
      <c r="G29">
        <v>0</v>
      </c>
      <c r="J29" s="3">
        <v>1491</v>
      </c>
      <c r="K29" s="4">
        <v>0</v>
      </c>
      <c r="L29" s="4">
        <v>0</v>
      </c>
      <c r="M29" s="4">
        <v>236082353</v>
      </c>
    </row>
    <row r="30" spans="1:13" x14ac:dyDescent="0.25">
      <c r="A30">
        <v>1091</v>
      </c>
      <c r="B30">
        <v>58</v>
      </c>
      <c r="C30">
        <v>58452801</v>
      </c>
      <c r="D30">
        <v>0</v>
      </c>
      <c r="E30">
        <v>0</v>
      </c>
      <c r="F30">
        <v>0</v>
      </c>
      <c r="G30">
        <v>58452801</v>
      </c>
      <c r="J30" s="3">
        <v>1501</v>
      </c>
      <c r="K30" s="4">
        <v>0</v>
      </c>
      <c r="L30" s="4">
        <v>0</v>
      </c>
      <c r="M30" s="4">
        <v>242449048</v>
      </c>
    </row>
    <row r="31" spans="1:13" x14ac:dyDescent="0.25">
      <c r="A31">
        <v>1091</v>
      </c>
      <c r="B31">
        <v>60</v>
      </c>
      <c r="C31">
        <v>7430000</v>
      </c>
      <c r="D31">
        <v>0</v>
      </c>
      <c r="E31">
        <v>0</v>
      </c>
      <c r="F31">
        <v>7430000</v>
      </c>
      <c r="G31">
        <v>0</v>
      </c>
      <c r="J31" s="3">
        <v>1511</v>
      </c>
      <c r="K31" s="4">
        <v>38052673</v>
      </c>
      <c r="L31" s="4">
        <v>52250000</v>
      </c>
      <c r="M31" s="4">
        <v>1800821676</v>
      </c>
    </row>
    <row r="32" spans="1:13" x14ac:dyDescent="0.25">
      <c r="A32">
        <v>1091</v>
      </c>
      <c r="B32">
        <v>70</v>
      </c>
      <c r="C32">
        <v>1050000</v>
      </c>
      <c r="D32">
        <v>0</v>
      </c>
      <c r="E32">
        <v>0</v>
      </c>
      <c r="F32">
        <v>1050000</v>
      </c>
      <c r="G32">
        <v>0</v>
      </c>
      <c r="J32" s="3">
        <v>1521</v>
      </c>
      <c r="K32" s="4">
        <v>0</v>
      </c>
      <c r="L32" s="4">
        <v>0</v>
      </c>
      <c r="M32" s="4">
        <v>29323980</v>
      </c>
    </row>
    <row r="33" spans="1:13" x14ac:dyDescent="0.25">
      <c r="A33">
        <v>1101</v>
      </c>
      <c r="B33">
        <v>10</v>
      </c>
      <c r="C33">
        <v>6066332</v>
      </c>
      <c r="D33">
        <v>0</v>
      </c>
      <c r="E33">
        <v>0</v>
      </c>
      <c r="F33">
        <v>0</v>
      </c>
      <c r="G33">
        <v>6066332</v>
      </c>
      <c r="J33" s="3">
        <v>1541</v>
      </c>
      <c r="K33" s="4">
        <v>0</v>
      </c>
      <c r="L33" s="4">
        <v>51497191</v>
      </c>
      <c r="M33" s="4">
        <v>0</v>
      </c>
    </row>
    <row r="34" spans="1:13" x14ac:dyDescent="0.25">
      <c r="A34">
        <v>1111</v>
      </c>
      <c r="B34">
        <v>10</v>
      </c>
      <c r="C34">
        <v>1642325</v>
      </c>
      <c r="D34">
        <v>0</v>
      </c>
      <c r="E34">
        <v>0</v>
      </c>
      <c r="F34">
        <v>0</v>
      </c>
      <c r="G34">
        <v>1642325</v>
      </c>
      <c r="J34" s="3">
        <v>1551</v>
      </c>
      <c r="K34" s="4">
        <v>0</v>
      </c>
      <c r="L34" s="4">
        <v>0</v>
      </c>
      <c r="M34" s="4">
        <v>99524919</v>
      </c>
    </row>
    <row r="35" spans="1:13" x14ac:dyDescent="0.25">
      <c r="A35">
        <v>1191</v>
      </c>
      <c r="B35">
        <v>10</v>
      </c>
      <c r="C35">
        <v>908828763</v>
      </c>
      <c r="D35">
        <v>0</v>
      </c>
      <c r="E35">
        <v>0</v>
      </c>
      <c r="F35">
        <v>0</v>
      </c>
      <c r="G35">
        <v>908828763</v>
      </c>
      <c r="J35" s="3">
        <v>1571</v>
      </c>
      <c r="K35" s="4">
        <v>0</v>
      </c>
      <c r="L35" s="4">
        <v>0</v>
      </c>
      <c r="M35" s="4">
        <v>12781378</v>
      </c>
    </row>
    <row r="36" spans="1:13" x14ac:dyDescent="0.25">
      <c r="A36">
        <v>1191</v>
      </c>
      <c r="B36">
        <v>29</v>
      </c>
      <c r="C36">
        <v>13812524</v>
      </c>
      <c r="D36">
        <v>0</v>
      </c>
      <c r="E36">
        <v>0</v>
      </c>
      <c r="F36">
        <v>0</v>
      </c>
      <c r="G36">
        <v>13812524</v>
      </c>
      <c r="J36" s="3">
        <v>1591</v>
      </c>
      <c r="K36" s="4">
        <v>0</v>
      </c>
      <c r="L36" s="4">
        <v>126800000</v>
      </c>
      <c r="M36" s="4">
        <v>3136136</v>
      </c>
    </row>
    <row r="37" spans="1:13" x14ac:dyDescent="0.25">
      <c r="A37">
        <v>1191</v>
      </c>
      <c r="B37">
        <v>52</v>
      </c>
      <c r="C37">
        <v>0</v>
      </c>
      <c r="D37">
        <v>14000</v>
      </c>
      <c r="E37">
        <v>0</v>
      </c>
      <c r="F37">
        <v>0</v>
      </c>
      <c r="G37">
        <v>0</v>
      </c>
      <c r="J37" s="3">
        <v>1631</v>
      </c>
      <c r="K37" s="4">
        <v>0</v>
      </c>
      <c r="L37" s="4">
        <v>0</v>
      </c>
      <c r="M37" s="4">
        <v>30339041</v>
      </c>
    </row>
    <row r="38" spans="1:13" x14ac:dyDescent="0.25">
      <c r="A38">
        <v>1191</v>
      </c>
      <c r="B38">
        <v>53</v>
      </c>
      <c r="C38">
        <v>560000</v>
      </c>
      <c r="D38">
        <v>0</v>
      </c>
      <c r="E38">
        <v>0</v>
      </c>
      <c r="F38">
        <v>0</v>
      </c>
      <c r="G38">
        <v>560000</v>
      </c>
      <c r="J38" s="3">
        <v>1641</v>
      </c>
      <c r="K38" s="4">
        <v>0</v>
      </c>
      <c r="L38" s="4">
        <v>303000</v>
      </c>
      <c r="M38" s="4">
        <v>21419484</v>
      </c>
    </row>
    <row r="39" spans="1:13" x14ac:dyDescent="0.25">
      <c r="A39">
        <v>1191</v>
      </c>
      <c r="B39">
        <v>54</v>
      </c>
      <c r="C39">
        <v>0</v>
      </c>
      <c r="D39">
        <v>1120</v>
      </c>
      <c r="E39">
        <v>0</v>
      </c>
      <c r="F39">
        <v>0</v>
      </c>
      <c r="G39">
        <v>0</v>
      </c>
      <c r="J39" s="3">
        <v>1651</v>
      </c>
      <c r="K39" s="4">
        <v>0</v>
      </c>
      <c r="L39" s="4">
        <v>3301359</v>
      </c>
      <c r="M39" s="4">
        <v>23538617</v>
      </c>
    </row>
    <row r="40" spans="1:13" x14ac:dyDescent="0.25">
      <c r="A40">
        <v>1191</v>
      </c>
      <c r="B40">
        <v>72</v>
      </c>
      <c r="C40">
        <v>227890808</v>
      </c>
      <c r="D40">
        <v>0</v>
      </c>
      <c r="E40">
        <v>0</v>
      </c>
      <c r="F40">
        <v>0</v>
      </c>
      <c r="G40">
        <v>227890808</v>
      </c>
      <c r="J40" s="3">
        <v>1661</v>
      </c>
      <c r="K40" s="4">
        <v>0</v>
      </c>
      <c r="L40" s="4">
        <v>0</v>
      </c>
      <c r="M40" s="4">
        <v>139097159</v>
      </c>
    </row>
    <row r="41" spans="1:13" x14ac:dyDescent="0.25">
      <c r="A41">
        <v>1221</v>
      </c>
      <c r="B41">
        <v>10</v>
      </c>
      <c r="C41">
        <v>18946341</v>
      </c>
      <c r="D41">
        <v>0</v>
      </c>
      <c r="E41">
        <v>0</v>
      </c>
      <c r="F41">
        <v>0</v>
      </c>
      <c r="G41">
        <v>18946341</v>
      </c>
      <c r="J41" s="3">
        <v>1671</v>
      </c>
      <c r="K41" s="4">
        <v>0</v>
      </c>
      <c r="L41" s="4">
        <v>19800000</v>
      </c>
      <c r="M41" s="4">
        <v>25801127</v>
      </c>
    </row>
    <row r="42" spans="1:13" x14ac:dyDescent="0.25">
      <c r="A42">
        <v>1231</v>
      </c>
      <c r="B42">
        <v>10</v>
      </c>
      <c r="C42">
        <v>23932090</v>
      </c>
      <c r="D42">
        <v>0</v>
      </c>
      <c r="E42">
        <v>0</v>
      </c>
      <c r="F42">
        <v>0</v>
      </c>
      <c r="G42">
        <v>23932090</v>
      </c>
      <c r="J42" s="3">
        <v>1911</v>
      </c>
      <c r="K42" s="4">
        <v>0</v>
      </c>
      <c r="L42" s="4">
        <v>0</v>
      </c>
      <c r="M42" s="4">
        <v>20790660571</v>
      </c>
    </row>
    <row r="43" spans="1:13" x14ac:dyDescent="0.25">
      <c r="A43">
        <v>1231</v>
      </c>
      <c r="B43">
        <v>71</v>
      </c>
      <c r="C43">
        <v>207900</v>
      </c>
      <c r="D43">
        <v>0</v>
      </c>
      <c r="E43">
        <v>0</v>
      </c>
      <c r="F43">
        <v>0</v>
      </c>
      <c r="G43">
        <v>207900</v>
      </c>
      <c r="J43" s="3">
        <v>1915</v>
      </c>
      <c r="K43" s="4">
        <v>0</v>
      </c>
      <c r="L43" s="4">
        <v>0</v>
      </c>
      <c r="M43" s="4">
        <v>9000</v>
      </c>
    </row>
    <row r="44" spans="1:13" x14ac:dyDescent="0.25">
      <c r="A44">
        <v>1251</v>
      </c>
      <c r="B44">
        <v>10</v>
      </c>
      <c r="C44">
        <v>9458232889</v>
      </c>
      <c r="D44">
        <v>0</v>
      </c>
      <c r="E44">
        <v>0</v>
      </c>
      <c r="F44">
        <v>0</v>
      </c>
      <c r="G44">
        <v>9458232889</v>
      </c>
      <c r="J44" s="3">
        <v>1916</v>
      </c>
      <c r="K44" s="4">
        <v>0</v>
      </c>
      <c r="L44" s="4">
        <v>0</v>
      </c>
      <c r="M44" s="4">
        <v>6908641231</v>
      </c>
    </row>
    <row r="45" spans="1:13" x14ac:dyDescent="0.25">
      <c r="A45">
        <v>1251</v>
      </c>
      <c r="B45">
        <v>24</v>
      </c>
      <c r="C45">
        <v>2356888</v>
      </c>
      <c r="D45">
        <v>0</v>
      </c>
      <c r="E45">
        <v>0</v>
      </c>
      <c r="F45">
        <v>2356888</v>
      </c>
      <c r="G45">
        <v>0</v>
      </c>
      <c r="J45" s="3">
        <v>1941</v>
      </c>
      <c r="K45" s="4">
        <v>0</v>
      </c>
      <c r="L45" s="4">
        <v>0</v>
      </c>
      <c r="M45" s="4">
        <v>368660963</v>
      </c>
    </row>
    <row r="46" spans="1:13" x14ac:dyDescent="0.25">
      <c r="A46">
        <v>1251</v>
      </c>
      <c r="B46">
        <v>30</v>
      </c>
      <c r="C46">
        <v>153125616</v>
      </c>
      <c r="D46">
        <v>0</v>
      </c>
      <c r="E46">
        <v>0</v>
      </c>
      <c r="F46">
        <v>0</v>
      </c>
      <c r="G46">
        <v>153125616</v>
      </c>
      <c r="J46" s="3">
        <v>1991</v>
      </c>
      <c r="K46" s="4">
        <v>0</v>
      </c>
      <c r="L46" s="4">
        <v>0</v>
      </c>
      <c r="M46" s="4">
        <v>512459837</v>
      </c>
    </row>
    <row r="47" spans="1:13" x14ac:dyDescent="0.25">
      <c r="A47">
        <v>1251</v>
      </c>
      <c r="B47">
        <v>45</v>
      </c>
      <c r="C47">
        <v>177005</v>
      </c>
      <c r="D47">
        <v>0</v>
      </c>
      <c r="E47">
        <v>0</v>
      </c>
      <c r="F47">
        <v>183000</v>
      </c>
      <c r="G47">
        <v>0</v>
      </c>
      <c r="J47" s="3">
        <v>2011</v>
      </c>
      <c r="K47" s="4">
        <v>6179791</v>
      </c>
      <c r="L47" s="4">
        <v>974596496</v>
      </c>
      <c r="M47" s="4">
        <v>0</v>
      </c>
    </row>
    <row r="48" spans="1:13" x14ac:dyDescent="0.25">
      <c r="A48">
        <v>1251</v>
      </c>
      <c r="B48">
        <v>52</v>
      </c>
      <c r="C48">
        <v>0</v>
      </c>
      <c r="D48" s="1">
        <v>5000000</v>
      </c>
      <c r="E48">
        <v>0</v>
      </c>
      <c r="F48">
        <v>0</v>
      </c>
      <c r="G48">
        <v>0</v>
      </c>
      <c r="J48" s="3">
        <v>2041</v>
      </c>
      <c r="K48" s="4">
        <v>3015107</v>
      </c>
      <c r="L48" s="4">
        <v>29300000</v>
      </c>
      <c r="M48" s="4">
        <v>0</v>
      </c>
    </row>
    <row r="49" spans="1:13" x14ac:dyDescent="0.25">
      <c r="A49">
        <v>1251</v>
      </c>
      <c r="B49">
        <v>60</v>
      </c>
      <c r="C49">
        <v>8365890</v>
      </c>
      <c r="D49" s="1">
        <v>1000000</v>
      </c>
      <c r="E49">
        <v>0</v>
      </c>
      <c r="F49">
        <v>8679390</v>
      </c>
      <c r="G49">
        <v>0</v>
      </c>
      <c r="J49" s="3">
        <v>2061</v>
      </c>
      <c r="K49" s="4">
        <v>0</v>
      </c>
      <c r="L49" s="4">
        <v>8013435</v>
      </c>
      <c r="M49" s="4">
        <v>32454590</v>
      </c>
    </row>
    <row r="50" spans="1:13" x14ac:dyDescent="0.25">
      <c r="A50">
        <v>1251</v>
      </c>
      <c r="B50">
        <v>70</v>
      </c>
      <c r="C50">
        <v>8674970</v>
      </c>
      <c r="D50">
        <v>0</v>
      </c>
      <c r="E50">
        <v>0</v>
      </c>
      <c r="F50">
        <v>8674970</v>
      </c>
      <c r="G50">
        <v>0</v>
      </c>
      <c r="J50" s="3">
        <v>2071</v>
      </c>
      <c r="K50" s="4">
        <v>0</v>
      </c>
      <c r="L50" s="4">
        <v>41759841</v>
      </c>
      <c r="M50" s="4">
        <v>355451549</v>
      </c>
    </row>
    <row r="51" spans="1:13" x14ac:dyDescent="0.25">
      <c r="A51">
        <v>1251</v>
      </c>
      <c r="B51">
        <v>73</v>
      </c>
      <c r="C51" s="1">
        <v>10000000</v>
      </c>
      <c r="D51">
        <v>0</v>
      </c>
      <c r="E51">
        <v>0</v>
      </c>
      <c r="F51" s="1">
        <v>10000000</v>
      </c>
      <c r="G51">
        <v>0</v>
      </c>
      <c r="J51" s="3">
        <v>2091</v>
      </c>
      <c r="K51" s="4">
        <v>10089000</v>
      </c>
      <c r="L51" s="4">
        <v>44975000</v>
      </c>
      <c r="M51" s="4">
        <v>2200000</v>
      </c>
    </row>
    <row r="52" spans="1:13" x14ac:dyDescent="0.25">
      <c r="A52">
        <v>1251</v>
      </c>
      <c r="B52">
        <v>75</v>
      </c>
      <c r="C52">
        <v>321518391</v>
      </c>
      <c r="D52">
        <v>0</v>
      </c>
      <c r="E52">
        <v>0</v>
      </c>
      <c r="F52">
        <v>0</v>
      </c>
      <c r="G52">
        <v>321518391</v>
      </c>
      <c r="J52" s="3">
        <v>2101</v>
      </c>
      <c r="K52" s="4">
        <v>600000</v>
      </c>
      <c r="L52" s="4">
        <v>134000000</v>
      </c>
      <c r="M52" s="4">
        <v>6850000</v>
      </c>
    </row>
    <row r="53" spans="1:13" x14ac:dyDescent="0.25">
      <c r="A53">
        <v>1251</v>
      </c>
      <c r="B53">
        <v>77</v>
      </c>
      <c r="C53">
        <v>0</v>
      </c>
      <c r="D53">
        <v>337500</v>
      </c>
      <c r="E53">
        <v>0</v>
      </c>
      <c r="F53">
        <v>0</v>
      </c>
      <c r="G53">
        <v>0</v>
      </c>
      <c r="J53" s="3">
        <v>2111</v>
      </c>
      <c r="K53" s="4">
        <v>0</v>
      </c>
      <c r="L53" s="4">
        <v>45984896</v>
      </c>
      <c r="M53" s="4">
        <v>6942783</v>
      </c>
    </row>
    <row r="54" spans="1:13" x14ac:dyDescent="0.25">
      <c r="A54">
        <v>1251</v>
      </c>
      <c r="B54">
        <v>82</v>
      </c>
      <c r="C54">
        <v>57539748</v>
      </c>
      <c r="D54">
        <v>0</v>
      </c>
      <c r="E54">
        <v>0</v>
      </c>
      <c r="F54">
        <v>0</v>
      </c>
      <c r="G54">
        <v>57539748</v>
      </c>
      <c r="J54" s="3">
        <v>2121</v>
      </c>
      <c r="K54" s="4">
        <v>425980</v>
      </c>
      <c r="L54" s="4">
        <v>2157619691</v>
      </c>
      <c r="M54" s="4">
        <v>0</v>
      </c>
    </row>
    <row r="55" spans="1:13" x14ac:dyDescent="0.25">
      <c r="A55">
        <v>1251</v>
      </c>
      <c r="B55">
        <v>83</v>
      </c>
      <c r="C55">
        <v>0</v>
      </c>
      <c r="D55" s="1">
        <v>10000000</v>
      </c>
      <c r="E55">
        <v>0</v>
      </c>
      <c r="F55">
        <v>0</v>
      </c>
      <c r="G55">
        <v>0</v>
      </c>
      <c r="J55" s="3">
        <v>2141</v>
      </c>
      <c r="K55" s="4">
        <v>0</v>
      </c>
      <c r="L55" s="4">
        <v>84251297</v>
      </c>
      <c r="M55" s="4">
        <v>90148885</v>
      </c>
    </row>
    <row r="56" spans="1:13" x14ac:dyDescent="0.25">
      <c r="A56">
        <v>1261</v>
      </c>
      <c r="B56">
        <v>10</v>
      </c>
      <c r="C56">
        <v>2248625578</v>
      </c>
      <c r="D56">
        <v>0</v>
      </c>
      <c r="E56">
        <v>0</v>
      </c>
      <c r="F56">
        <v>0</v>
      </c>
      <c r="G56">
        <v>2248625578</v>
      </c>
      <c r="J56" s="3">
        <v>2151</v>
      </c>
      <c r="K56" s="4">
        <v>0</v>
      </c>
      <c r="L56" s="4">
        <v>358200</v>
      </c>
      <c r="M56" s="4">
        <v>9810503</v>
      </c>
    </row>
    <row r="57" spans="1:13" x14ac:dyDescent="0.25">
      <c r="A57">
        <v>1261</v>
      </c>
      <c r="B57">
        <v>21</v>
      </c>
      <c r="C57">
        <v>22500000</v>
      </c>
      <c r="D57">
        <v>0</v>
      </c>
      <c r="E57">
        <v>0</v>
      </c>
      <c r="F57">
        <v>612720000</v>
      </c>
      <c r="G57">
        <v>0</v>
      </c>
      <c r="J57" s="3">
        <v>2161</v>
      </c>
      <c r="K57" s="4">
        <v>0</v>
      </c>
      <c r="L57" s="4">
        <v>208500</v>
      </c>
      <c r="M57" s="4">
        <v>4927951</v>
      </c>
    </row>
    <row r="58" spans="1:13" x14ac:dyDescent="0.25">
      <c r="A58">
        <v>1261</v>
      </c>
      <c r="B58">
        <v>23</v>
      </c>
      <c r="C58">
        <v>6921534461</v>
      </c>
      <c r="D58">
        <v>0</v>
      </c>
      <c r="E58">
        <v>0</v>
      </c>
      <c r="F58">
        <v>0</v>
      </c>
      <c r="G58">
        <v>6921534461</v>
      </c>
      <c r="J58" s="3">
        <v>2171</v>
      </c>
      <c r="K58" s="4">
        <v>0</v>
      </c>
      <c r="L58" s="4">
        <v>803785</v>
      </c>
      <c r="M58" s="4">
        <v>3226580</v>
      </c>
    </row>
    <row r="59" spans="1:13" x14ac:dyDescent="0.25">
      <c r="A59">
        <v>1261</v>
      </c>
      <c r="B59">
        <v>24</v>
      </c>
      <c r="C59" s="1">
        <v>300000</v>
      </c>
      <c r="D59">
        <v>0</v>
      </c>
      <c r="E59">
        <v>0</v>
      </c>
      <c r="F59" s="1">
        <v>300000</v>
      </c>
      <c r="G59">
        <v>0</v>
      </c>
      <c r="J59" s="3">
        <v>2181</v>
      </c>
      <c r="K59" s="4">
        <v>0</v>
      </c>
      <c r="L59" s="4">
        <v>3790000</v>
      </c>
      <c r="M59" s="4">
        <v>38809459</v>
      </c>
    </row>
    <row r="60" spans="1:13" x14ac:dyDescent="0.25">
      <c r="A60">
        <v>1261</v>
      </c>
      <c r="B60">
        <v>36</v>
      </c>
      <c r="C60" s="1">
        <v>200000000</v>
      </c>
      <c r="D60">
        <v>0</v>
      </c>
      <c r="E60">
        <v>0</v>
      </c>
      <c r="F60" s="1">
        <v>200000000</v>
      </c>
      <c r="G60">
        <v>0</v>
      </c>
      <c r="J60" s="3">
        <v>2201</v>
      </c>
      <c r="K60" s="4">
        <v>0</v>
      </c>
      <c r="L60" s="4">
        <v>233972</v>
      </c>
      <c r="M60" s="4">
        <v>15489954</v>
      </c>
    </row>
    <row r="61" spans="1:13" x14ac:dyDescent="0.25">
      <c r="A61">
        <v>1261</v>
      </c>
      <c r="B61">
        <v>71</v>
      </c>
      <c r="C61">
        <v>82872000</v>
      </c>
      <c r="D61">
        <v>0</v>
      </c>
      <c r="E61">
        <v>0</v>
      </c>
      <c r="F61">
        <v>0</v>
      </c>
      <c r="G61">
        <v>82872000</v>
      </c>
      <c r="J61" s="3">
        <v>2211</v>
      </c>
      <c r="K61" s="4">
        <v>0</v>
      </c>
      <c r="L61" s="4">
        <v>1000000</v>
      </c>
      <c r="M61" s="4">
        <v>28597587</v>
      </c>
    </row>
    <row r="62" spans="1:13" x14ac:dyDescent="0.25">
      <c r="A62">
        <v>1271</v>
      </c>
      <c r="B62">
        <v>10</v>
      </c>
      <c r="C62">
        <v>55197175</v>
      </c>
      <c r="D62">
        <v>0</v>
      </c>
      <c r="E62">
        <v>0</v>
      </c>
      <c r="F62">
        <v>0</v>
      </c>
      <c r="G62">
        <v>55197175</v>
      </c>
      <c r="J62" s="3">
        <v>2241</v>
      </c>
      <c r="K62" s="4">
        <v>0</v>
      </c>
      <c r="L62" s="4">
        <v>56763333</v>
      </c>
      <c r="M62" s="4">
        <v>10791478</v>
      </c>
    </row>
    <row r="63" spans="1:13" x14ac:dyDescent="0.25">
      <c r="A63">
        <v>1271</v>
      </c>
      <c r="B63">
        <v>60</v>
      </c>
      <c r="C63">
        <v>3500</v>
      </c>
      <c r="D63">
        <v>0</v>
      </c>
      <c r="E63">
        <v>0</v>
      </c>
      <c r="F63">
        <v>3500</v>
      </c>
      <c r="G63">
        <v>0</v>
      </c>
      <c r="J63" s="3">
        <v>2251</v>
      </c>
      <c r="K63" s="4">
        <v>0</v>
      </c>
      <c r="L63" s="4">
        <v>48556774</v>
      </c>
      <c r="M63" s="4">
        <v>0</v>
      </c>
    </row>
    <row r="64" spans="1:13" x14ac:dyDescent="0.25">
      <c r="A64">
        <v>1271</v>
      </c>
      <c r="B64">
        <v>70</v>
      </c>
      <c r="C64">
        <v>1010000</v>
      </c>
      <c r="D64">
        <v>0</v>
      </c>
      <c r="E64">
        <v>0</v>
      </c>
      <c r="F64">
        <v>1010000</v>
      </c>
      <c r="G64">
        <v>0</v>
      </c>
      <c r="J64" s="3">
        <v>2261</v>
      </c>
      <c r="K64" s="4">
        <v>0</v>
      </c>
      <c r="L64" s="4">
        <v>889873461</v>
      </c>
      <c r="M64" s="4">
        <v>100000</v>
      </c>
    </row>
    <row r="65" spans="1:13" x14ac:dyDescent="0.25">
      <c r="A65">
        <v>1301</v>
      </c>
      <c r="B65">
        <v>10</v>
      </c>
      <c r="C65">
        <v>44598133</v>
      </c>
      <c r="D65">
        <v>0</v>
      </c>
      <c r="E65">
        <v>0</v>
      </c>
      <c r="F65">
        <v>0</v>
      </c>
      <c r="G65">
        <v>44598133</v>
      </c>
      <c r="J65" s="3">
        <v>2271</v>
      </c>
      <c r="K65" s="4">
        <v>0</v>
      </c>
      <c r="L65" s="4">
        <v>1328704051</v>
      </c>
      <c r="M65" s="4">
        <v>0</v>
      </c>
    </row>
    <row r="66" spans="1:13" x14ac:dyDescent="0.25">
      <c r="A66">
        <v>1301</v>
      </c>
      <c r="B66">
        <v>24</v>
      </c>
      <c r="C66" s="1">
        <v>4000000</v>
      </c>
      <c r="D66">
        <v>0</v>
      </c>
      <c r="E66">
        <v>0</v>
      </c>
      <c r="F66" s="1">
        <v>4000000</v>
      </c>
      <c r="G66">
        <v>0</v>
      </c>
      <c r="J66" s="3">
        <v>2281</v>
      </c>
      <c r="K66" s="4">
        <v>0</v>
      </c>
      <c r="L66" s="4">
        <v>9575625</v>
      </c>
      <c r="M66" s="4">
        <v>2736218</v>
      </c>
    </row>
    <row r="67" spans="1:13" x14ac:dyDescent="0.25">
      <c r="A67">
        <v>1301</v>
      </c>
      <c r="B67">
        <v>25</v>
      </c>
      <c r="C67">
        <v>119086889</v>
      </c>
      <c r="D67">
        <v>0</v>
      </c>
      <c r="E67">
        <v>0</v>
      </c>
      <c r="F67">
        <v>0</v>
      </c>
      <c r="G67">
        <v>119086889</v>
      </c>
      <c r="J67" s="3">
        <v>2301</v>
      </c>
      <c r="K67" s="4">
        <v>0</v>
      </c>
      <c r="L67" s="4">
        <v>181274844</v>
      </c>
      <c r="M67" s="4">
        <v>1050206974</v>
      </c>
    </row>
    <row r="68" spans="1:13" x14ac:dyDescent="0.25">
      <c r="A68">
        <v>1301</v>
      </c>
      <c r="B68">
        <v>70</v>
      </c>
      <c r="C68">
        <v>1108000</v>
      </c>
      <c r="D68">
        <v>0</v>
      </c>
      <c r="E68">
        <v>0</v>
      </c>
      <c r="F68">
        <v>1108000</v>
      </c>
      <c r="G68">
        <v>0</v>
      </c>
      <c r="J68" s="3">
        <v>2311</v>
      </c>
      <c r="K68" s="4">
        <v>96067</v>
      </c>
      <c r="L68" s="4">
        <v>53358321</v>
      </c>
      <c r="M68" s="4">
        <v>219140987</v>
      </c>
    </row>
    <row r="69" spans="1:13" x14ac:dyDescent="0.25">
      <c r="A69">
        <v>1301</v>
      </c>
      <c r="B69">
        <v>73</v>
      </c>
      <c r="C69">
        <v>637703</v>
      </c>
      <c r="D69">
        <v>0</v>
      </c>
      <c r="E69">
        <v>0</v>
      </c>
      <c r="F69">
        <v>637703</v>
      </c>
      <c r="G69">
        <v>0</v>
      </c>
      <c r="J69" s="3">
        <v>2321</v>
      </c>
      <c r="K69" s="4">
        <v>0</v>
      </c>
      <c r="L69" s="4">
        <v>282501255</v>
      </c>
      <c r="M69" s="4">
        <v>0</v>
      </c>
    </row>
    <row r="70" spans="1:13" x14ac:dyDescent="0.25">
      <c r="A70">
        <v>1371</v>
      </c>
      <c r="B70">
        <v>10</v>
      </c>
      <c r="C70">
        <v>3500000</v>
      </c>
      <c r="D70">
        <v>0</v>
      </c>
      <c r="E70">
        <v>0</v>
      </c>
      <c r="F70">
        <v>0</v>
      </c>
      <c r="G70">
        <v>3500000</v>
      </c>
      <c r="J70" s="3">
        <v>2331</v>
      </c>
      <c r="K70" s="4">
        <v>0</v>
      </c>
      <c r="L70" s="4">
        <v>42000000</v>
      </c>
      <c r="M70" s="4">
        <v>0</v>
      </c>
    </row>
    <row r="71" spans="1:13" x14ac:dyDescent="0.25">
      <c r="A71">
        <v>1371</v>
      </c>
      <c r="B71">
        <v>24</v>
      </c>
      <c r="C71">
        <v>750000</v>
      </c>
      <c r="D71">
        <v>0</v>
      </c>
      <c r="E71">
        <v>0</v>
      </c>
      <c r="F71">
        <v>750000</v>
      </c>
      <c r="G71">
        <v>0</v>
      </c>
      <c r="J71" s="3">
        <v>2351</v>
      </c>
      <c r="K71" s="4">
        <v>0</v>
      </c>
      <c r="L71" s="4">
        <v>622800</v>
      </c>
      <c r="M71" s="4">
        <v>201458323</v>
      </c>
    </row>
    <row r="72" spans="1:13" x14ac:dyDescent="0.25">
      <c r="A72">
        <v>1371</v>
      </c>
      <c r="B72">
        <v>31</v>
      </c>
      <c r="C72">
        <v>51925947</v>
      </c>
      <c r="D72">
        <v>0</v>
      </c>
      <c r="E72">
        <v>0</v>
      </c>
      <c r="F72">
        <v>0</v>
      </c>
      <c r="G72">
        <v>51925947</v>
      </c>
      <c r="J72" s="3">
        <v>2361</v>
      </c>
      <c r="K72" s="4">
        <v>0</v>
      </c>
      <c r="L72" s="4">
        <v>138014750</v>
      </c>
      <c r="M72" s="4">
        <v>0</v>
      </c>
    </row>
    <row r="73" spans="1:13" x14ac:dyDescent="0.25">
      <c r="A73">
        <v>1371</v>
      </c>
      <c r="B73">
        <v>52</v>
      </c>
      <c r="C73">
        <v>0</v>
      </c>
      <c r="D73" s="1">
        <v>5000000</v>
      </c>
      <c r="E73">
        <v>0</v>
      </c>
      <c r="F73">
        <v>0</v>
      </c>
      <c r="G73">
        <v>0</v>
      </c>
      <c r="J73" s="3">
        <v>2371</v>
      </c>
      <c r="K73" s="4">
        <v>3197989</v>
      </c>
      <c r="L73" s="4">
        <v>40280708</v>
      </c>
      <c r="M73" s="4">
        <v>102325952</v>
      </c>
    </row>
    <row r="74" spans="1:13" x14ac:dyDescent="0.25">
      <c r="A74">
        <v>1371</v>
      </c>
      <c r="B74">
        <v>72</v>
      </c>
      <c r="C74">
        <v>69751951</v>
      </c>
      <c r="D74">
        <v>0</v>
      </c>
      <c r="E74">
        <v>0</v>
      </c>
      <c r="F74">
        <v>0</v>
      </c>
      <c r="G74">
        <v>69751951</v>
      </c>
      <c r="J74" s="3">
        <v>2381</v>
      </c>
      <c r="K74" s="4">
        <v>0</v>
      </c>
      <c r="L74" s="4">
        <v>2065000</v>
      </c>
      <c r="M74" s="4">
        <v>1243388</v>
      </c>
    </row>
    <row r="75" spans="1:13" x14ac:dyDescent="0.25">
      <c r="A75">
        <v>1401</v>
      </c>
      <c r="B75">
        <v>10</v>
      </c>
      <c r="C75">
        <v>931172035</v>
      </c>
      <c r="D75">
        <v>0</v>
      </c>
      <c r="E75">
        <v>0</v>
      </c>
      <c r="F75">
        <v>0</v>
      </c>
      <c r="G75">
        <v>931172035</v>
      </c>
      <c r="J75" s="3">
        <v>2391</v>
      </c>
      <c r="K75" s="4">
        <v>0</v>
      </c>
      <c r="L75" s="4">
        <v>100348030</v>
      </c>
      <c r="M75" s="4">
        <v>0</v>
      </c>
    </row>
    <row r="76" spans="1:13" x14ac:dyDescent="0.25">
      <c r="A76">
        <v>1401</v>
      </c>
      <c r="B76">
        <v>24</v>
      </c>
      <c r="C76">
        <v>3915000</v>
      </c>
      <c r="D76">
        <v>0</v>
      </c>
      <c r="E76">
        <v>0</v>
      </c>
      <c r="F76">
        <v>3915000</v>
      </c>
      <c r="G76">
        <v>0</v>
      </c>
      <c r="J76" s="3">
        <v>2401</v>
      </c>
      <c r="K76" s="4">
        <v>0</v>
      </c>
      <c r="L76" s="4">
        <v>1050000</v>
      </c>
      <c r="M76" s="4">
        <v>5801533</v>
      </c>
    </row>
    <row r="77" spans="1:13" x14ac:dyDescent="0.25">
      <c r="A77">
        <v>1401</v>
      </c>
      <c r="B77">
        <v>27</v>
      </c>
      <c r="C77">
        <v>17622334</v>
      </c>
      <c r="D77">
        <v>0</v>
      </c>
      <c r="E77">
        <v>0</v>
      </c>
      <c r="F77">
        <v>0</v>
      </c>
      <c r="G77">
        <v>17622334</v>
      </c>
      <c r="J77" s="3">
        <v>2421</v>
      </c>
      <c r="K77" s="4">
        <v>0</v>
      </c>
      <c r="L77" s="4">
        <v>47507158</v>
      </c>
      <c r="M77" s="4">
        <v>37475497</v>
      </c>
    </row>
    <row r="78" spans="1:13" x14ac:dyDescent="0.25">
      <c r="A78">
        <v>1401</v>
      </c>
      <c r="B78">
        <v>53</v>
      </c>
      <c r="C78">
        <v>81099850</v>
      </c>
      <c r="D78">
        <v>0</v>
      </c>
      <c r="E78">
        <v>0</v>
      </c>
      <c r="F78">
        <v>0</v>
      </c>
      <c r="G78">
        <v>81099850</v>
      </c>
      <c r="J78" s="3">
        <v>2431</v>
      </c>
      <c r="K78" s="4">
        <v>0</v>
      </c>
      <c r="L78" s="4">
        <v>480000</v>
      </c>
      <c r="M78" s="4">
        <v>3929071</v>
      </c>
    </row>
    <row r="79" spans="1:13" x14ac:dyDescent="0.25">
      <c r="A79">
        <v>1401</v>
      </c>
      <c r="B79">
        <v>60</v>
      </c>
      <c r="C79">
        <v>1065682</v>
      </c>
      <c r="D79">
        <v>0</v>
      </c>
      <c r="E79">
        <v>0</v>
      </c>
      <c r="F79">
        <v>5041749</v>
      </c>
      <c r="G79">
        <v>0</v>
      </c>
      <c r="J79" s="3">
        <v>2441</v>
      </c>
      <c r="K79" s="4">
        <v>1245521</v>
      </c>
      <c r="L79" s="4">
        <v>30705344</v>
      </c>
      <c r="M79" s="4">
        <v>0</v>
      </c>
    </row>
    <row r="80" spans="1:13" x14ac:dyDescent="0.25">
      <c r="A80">
        <v>1401</v>
      </c>
      <c r="B80">
        <v>74</v>
      </c>
      <c r="C80">
        <v>89000</v>
      </c>
      <c r="D80">
        <v>0</v>
      </c>
      <c r="E80">
        <v>0</v>
      </c>
      <c r="F80">
        <v>89000</v>
      </c>
      <c r="G80">
        <v>0</v>
      </c>
      <c r="J80" s="3">
        <v>2451</v>
      </c>
      <c r="K80" s="4">
        <v>0</v>
      </c>
      <c r="L80" s="4">
        <v>0</v>
      </c>
      <c r="M80" s="4">
        <v>3574622</v>
      </c>
    </row>
    <row r="81" spans="1:13" x14ac:dyDescent="0.25">
      <c r="A81">
        <v>1401</v>
      </c>
      <c r="B81">
        <v>75</v>
      </c>
      <c r="C81">
        <v>26369935</v>
      </c>
      <c r="D81">
        <v>0</v>
      </c>
      <c r="E81">
        <v>0</v>
      </c>
      <c r="F81">
        <v>0</v>
      </c>
      <c r="G81">
        <v>26369935</v>
      </c>
      <c r="J81" s="3">
        <v>2461</v>
      </c>
      <c r="K81" s="4">
        <v>0</v>
      </c>
      <c r="L81" s="4">
        <v>40000</v>
      </c>
      <c r="M81" s="4">
        <v>2992012</v>
      </c>
    </row>
    <row r="82" spans="1:13" x14ac:dyDescent="0.25">
      <c r="A82">
        <v>1401</v>
      </c>
      <c r="B82">
        <v>77</v>
      </c>
      <c r="C82">
        <v>0</v>
      </c>
      <c r="D82">
        <v>30000</v>
      </c>
      <c r="E82">
        <v>0</v>
      </c>
      <c r="F82">
        <v>0</v>
      </c>
      <c r="G82">
        <v>0</v>
      </c>
      <c r="J82" s="3">
        <v>3041</v>
      </c>
      <c r="K82" s="4">
        <v>0</v>
      </c>
      <c r="L82" s="4">
        <v>87246000</v>
      </c>
      <c r="M82" s="4">
        <v>181918955</v>
      </c>
    </row>
    <row r="83" spans="1:13" x14ac:dyDescent="0.25">
      <c r="A83">
        <v>1411</v>
      </c>
      <c r="B83">
        <v>10</v>
      </c>
      <c r="C83">
        <v>11687745</v>
      </c>
      <c r="D83">
        <v>0</v>
      </c>
      <c r="E83">
        <v>0</v>
      </c>
      <c r="F83">
        <v>0</v>
      </c>
      <c r="G83">
        <v>11687745</v>
      </c>
      <c r="J83" s="3">
        <v>3051</v>
      </c>
      <c r="K83" s="4">
        <v>0</v>
      </c>
      <c r="L83" s="4">
        <v>9357630</v>
      </c>
      <c r="M83" s="4">
        <v>72523315</v>
      </c>
    </row>
    <row r="84" spans="1:13" x14ac:dyDescent="0.25">
      <c r="A84">
        <v>1441</v>
      </c>
      <c r="B84">
        <v>10</v>
      </c>
      <c r="C84">
        <v>305739925</v>
      </c>
      <c r="D84">
        <v>0</v>
      </c>
      <c r="E84">
        <v>0</v>
      </c>
      <c r="F84">
        <v>0</v>
      </c>
      <c r="G84">
        <v>305739925</v>
      </c>
      <c r="J84" s="3">
        <v>3151</v>
      </c>
      <c r="K84" s="4">
        <v>0</v>
      </c>
      <c r="L84" s="4">
        <v>2319100</v>
      </c>
      <c r="M84" s="4">
        <v>8589546</v>
      </c>
    </row>
    <row r="85" spans="1:13" x14ac:dyDescent="0.25">
      <c r="A85">
        <v>1441</v>
      </c>
      <c r="B85">
        <v>25</v>
      </c>
      <c r="C85">
        <v>7033625</v>
      </c>
      <c r="D85">
        <v>0</v>
      </c>
      <c r="E85">
        <v>0</v>
      </c>
      <c r="F85">
        <v>0</v>
      </c>
      <c r="G85">
        <v>7033625</v>
      </c>
      <c r="J85" s="3">
        <v>4031</v>
      </c>
      <c r="K85" s="4">
        <v>367500</v>
      </c>
      <c r="L85" s="4">
        <v>1081258870</v>
      </c>
      <c r="M85" s="4">
        <v>10000</v>
      </c>
    </row>
    <row r="86" spans="1:13" x14ac:dyDescent="0.25">
      <c r="A86">
        <v>1441</v>
      </c>
      <c r="B86">
        <v>58</v>
      </c>
      <c r="C86">
        <v>96383310</v>
      </c>
      <c r="D86">
        <v>0</v>
      </c>
      <c r="E86">
        <v>0</v>
      </c>
      <c r="F86">
        <v>0</v>
      </c>
      <c r="G86">
        <v>96383310</v>
      </c>
      <c r="J86" s="3">
        <v>4041</v>
      </c>
      <c r="K86" s="4">
        <v>0</v>
      </c>
      <c r="L86" s="4">
        <v>2870000</v>
      </c>
      <c r="M86" s="4">
        <v>0</v>
      </c>
    </row>
    <row r="87" spans="1:13" x14ac:dyDescent="0.25">
      <c r="A87">
        <v>1441</v>
      </c>
      <c r="B87">
        <v>60</v>
      </c>
      <c r="C87">
        <v>3370000</v>
      </c>
      <c r="D87">
        <v>0</v>
      </c>
      <c r="E87">
        <v>0</v>
      </c>
      <c r="F87">
        <v>3370000</v>
      </c>
      <c r="G87">
        <v>0</v>
      </c>
      <c r="J87" s="3">
        <v>4061</v>
      </c>
      <c r="K87" s="4">
        <v>0</v>
      </c>
      <c r="L87" s="4">
        <v>19900000</v>
      </c>
      <c r="M87" s="4">
        <v>0</v>
      </c>
    </row>
    <row r="88" spans="1:13" x14ac:dyDescent="0.25">
      <c r="A88">
        <v>1451</v>
      </c>
      <c r="B88">
        <v>10</v>
      </c>
      <c r="C88">
        <v>783062638</v>
      </c>
      <c r="D88">
        <v>0</v>
      </c>
      <c r="E88">
        <v>0</v>
      </c>
      <c r="F88">
        <v>94739177</v>
      </c>
      <c r="G88">
        <v>688323461</v>
      </c>
      <c r="J88" s="3">
        <v>4091</v>
      </c>
      <c r="K88" s="4">
        <v>0</v>
      </c>
      <c r="L88" s="4">
        <v>5137061</v>
      </c>
      <c r="M88" s="4">
        <v>850000</v>
      </c>
    </row>
    <row r="89" spans="1:13" x14ac:dyDescent="0.25">
      <c r="A89">
        <v>1451</v>
      </c>
      <c r="B89">
        <v>27</v>
      </c>
      <c r="C89">
        <v>1371763421</v>
      </c>
      <c r="D89">
        <v>0</v>
      </c>
      <c r="E89">
        <v>0</v>
      </c>
      <c r="F89">
        <v>0</v>
      </c>
      <c r="G89">
        <v>1371763421</v>
      </c>
      <c r="J89" s="3">
        <v>4101</v>
      </c>
      <c r="K89" s="4">
        <v>0</v>
      </c>
      <c r="L89" s="4">
        <v>184500000</v>
      </c>
      <c r="M89" s="4">
        <v>60001000</v>
      </c>
    </row>
    <row r="90" spans="1:13" x14ac:dyDescent="0.25">
      <c r="A90">
        <v>1451</v>
      </c>
      <c r="B90">
        <v>60</v>
      </c>
      <c r="C90">
        <v>2700000</v>
      </c>
      <c r="D90">
        <v>0</v>
      </c>
      <c r="E90">
        <v>0</v>
      </c>
      <c r="F90">
        <v>2700000</v>
      </c>
      <c r="G90">
        <v>0</v>
      </c>
      <c r="J90" s="3">
        <v>4111</v>
      </c>
      <c r="K90" s="4">
        <v>176000</v>
      </c>
      <c r="L90" s="4">
        <v>2200000</v>
      </c>
      <c r="M90" s="4">
        <v>0</v>
      </c>
    </row>
    <row r="91" spans="1:13" x14ac:dyDescent="0.25">
      <c r="A91">
        <v>1451</v>
      </c>
      <c r="B91">
        <v>61</v>
      </c>
      <c r="C91" s="1">
        <v>500000</v>
      </c>
      <c r="D91">
        <v>0</v>
      </c>
      <c r="E91">
        <v>0</v>
      </c>
      <c r="F91" s="1">
        <v>500000</v>
      </c>
      <c r="G91">
        <v>0</v>
      </c>
      <c r="J91" s="3">
        <v>4121</v>
      </c>
      <c r="K91" s="4">
        <v>0</v>
      </c>
      <c r="L91" s="4">
        <v>35000000</v>
      </c>
      <c r="M91" s="4">
        <v>0</v>
      </c>
    </row>
    <row r="92" spans="1:13" x14ac:dyDescent="0.25">
      <c r="A92">
        <v>1461</v>
      </c>
      <c r="B92">
        <v>10</v>
      </c>
      <c r="C92">
        <v>10225764</v>
      </c>
      <c r="D92">
        <v>0</v>
      </c>
      <c r="E92">
        <v>0</v>
      </c>
      <c r="F92">
        <v>0</v>
      </c>
      <c r="G92">
        <v>10225764</v>
      </c>
      <c r="J92" s="3">
        <v>4141</v>
      </c>
      <c r="K92" s="4">
        <v>0</v>
      </c>
      <c r="L92" s="4">
        <v>2500000</v>
      </c>
      <c r="M92" s="4">
        <v>0</v>
      </c>
    </row>
    <row r="93" spans="1:13" x14ac:dyDescent="0.25">
      <c r="A93">
        <v>1461</v>
      </c>
      <c r="B93">
        <v>32</v>
      </c>
      <c r="C93">
        <v>1468042</v>
      </c>
      <c r="D93">
        <v>0</v>
      </c>
      <c r="E93">
        <v>0</v>
      </c>
      <c r="F93">
        <v>0</v>
      </c>
      <c r="G93">
        <v>1468042</v>
      </c>
      <c r="J93" s="3">
        <v>4151</v>
      </c>
      <c r="K93" s="4">
        <v>0</v>
      </c>
      <c r="L93" s="4">
        <v>2000</v>
      </c>
      <c r="M93" s="4">
        <v>0</v>
      </c>
    </row>
    <row r="94" spans="1:13" x14ac:dyDescent="0.25">
      <c r="A94">
        <v>1471</v>
      </c>
      <c r="B94">
        <v>10</v>
      </c>
      <c r="C94">
        <v>33614902</v>
      </c>
      <c r="D94">
        <v>0</v>
      </c>
      <c r="E94">
        <v>0</v>
      </c>
      <c r="F94">
        <v>0</v>
      </c>
      <c r="G94">
        <v>33614902</v>
      </c>
      <c r="J94" s="3">
        <v>4171</v>
      </c>
      <c r="K94" s="4">
        <v>0</v>
      </c>
      <c r="L94" s="4">
        <v>2000</v>
      </c>
      <c r="M94" s="4">
        <v>0</v>
      </c>
    </row>
    <row r="95" spans="1:13" x14ac:dyDescent="0.25">
      <c r="A95">
        <v>1471</v>
      </c>
      <c r="B95">
        <v>24</v>
      </c>
      <c r="C95">
        <v>39165542</v>
      </c>
      <c r="D95">
        <v>0</v>
      </c>
      <c r="E95">
        <v>0</v>
      </c>
      <c r="F95">
        <v>39165542</v>
      </c>
      <c r="G95">
        <v>0</v>
      </c>
      <c r="J95" s="3">
        <v>4251</v>
      </c>
      <c r="K95" s="4">
        <v>0</v>
      </c>
      <c r="L95" s="4">
        <v>6500000</v>
      </c>
      <c r="M95" s="4">
        <v>93869741</v>
      </c>
    </row>
    <row r="96" spans="1:13" x14ac:dyDescent="0.25">
      <c r="A96">
        <v>1481</v>
      </c>
      <c r="B96">
        <v>10</v>
      </c>
      <c r="C96">
        <v>37852632</v>
      </c>
      <c r="D96">
        <v>0</v>
      </c>
      <c r="E96">
        <v>0</v>
      </c>
      <c r="F96">
        <v>0</v>
      </c>
      <c r="G96">
        <v>37852632</v>
      </c>
      <c r="J96" s="3">
        <v>4291</v>
      </c>
      <c r="K96" s="4">
        <v>0</v>
      </c>
      <c r="L96" s="4">
        <v>1210140629</v>
      </c>
      <c r="M96" s="4">
        <v>5122391596</v>
      </c>
    </row>
    <row r="97" spans="1:13" x14ac:dyDescent="0.25">
      <c r="A97">
        <v>1481</v>
      </c>
      <c r="B97">
        <v>24</v>
      </c>
      <c r="C97">
        <v>15938193</v>
      </c>
      <c r="D97">
        <v>0</v>
      </c>
      <c r="E97">
        <v>0</v>
      </c>
      <c r="F97">
        <v>15938193</v>
      </c>
      <c r="G97">
        <v>0</v>
      </c>
      <c r="J97" s="3">
        <v>4321</v>
      </c>
      <c r="K97" s="4">
        <v>0</v>
      </c>
      <c r="L97" s="4">
        <v>0</v>
      </c>
      <c r="M97" s="4">
        <v>11050</v>
      </c>
    </row>
    <row r="98" spans="1:13" x14ac:dyDescent="0.25">
      <c r="A98">
        <v>1481</v>
      </c>
      <c r="B98">
        <v>71</v>
      </c>
      <c r="C98">
        <v>22831954</v>
      </c>
      <c r="D98">
        <v>0</v>
      </c>
      <c r="E98">
        <v>0</v>
      </c>
      <c r="F98">
        <v>0</v>
      </c>
      <c r="G98">
        <v>22831954</v>
      </c>
      <c r="J98" s="3">
        <v>4331</v>
      </c>
      <c r="K98" s="4">
        <v>0</v>
      </c>
      <c r="L98" s="4">
        <v>5000000</v>
      </c>
      <c r="M98" s="4">
        <v>5000000</v>
      </c>
    </row>
    <row r="99" spans="1:13" x14ac:dyDescent="0.25">
      <c r="A99">
        <v>1491</v>
      </c>
      <c r="B99">
        <v>10</v>
      </c>
      <c r="C99">
        <v>236082353</v>
      </c>
      <c r="D99">
        <v>0</v>
      </c>
      <c r="E99">
        <v>0</v>
      </c>
      <c r="F99">
        <v>0</v>
      </c>
      <c r="G99">
        <v>236082353</v>
      </c>
      <c r="J99" s="3">
        <v>4341</v>
      </c>
      <c r="K99" s="4">
        <v>0</v>
      </c>
      <c r="L99" s="4">
        <v>630000</v>
      </c>
      <c r="M99" s="4">
        <v>91192171</v>
      </c>
    </row>
    <row r="100" spans="1:13" x14ac:dyDescent="0.25">
      <c r="A100">
        <v>1501</v>
      </c>
      <c r="B100">
        <v>10</v>
      </c>
      <c r="C100">
        <v>242449048</v>
      </c>
      <c r="D100">
        <v>0</v>
      </c>
      <c r="E100">
        <v>0</v>
      </c>
      <c r="F100">
        <v>0</v>
      </c>
      <c r="G100">
        <v>242449048</v>
      </c>
      <c r="J100" s="3">
        <v>4381</v>
      </c>
      <c r="K100" s="4">
        <v>10502120</v>
      </c>
      <c r="L100" s="4">
        <v>171004292</v>
      </c>
      <c r="M100" s="4">
        <v>107094699</v>
      </c>
    </row>
    <row r="101" spans="1:13" x14ac:dyDescent="0.25">
      <c r="A101">
        <v>1501</v>
      </c>
      <c r="B101">
        <v>60</v>
      </c>
      <c r="C101">
        <v>0</v>
      </c>
      <c r="D101">
        <v>2868393</v>
      </c>
      <c r="E101">
        <v>0</v>
      </c>
      <c r="F101">
        <v>0</v>
      </c>
      <c r="G101">
        <v>0</v>
      </c>
      <c r="J101" s="3">
        <v>4421</v>
      </c>
      <c r="K101" s="4">
        <v>0</v>
      </c>
      <c r="L101" s="4">
        <v>1349107</v>
      </c>
      <c r="M101" s="4">
        <v>10000</v>
      </c>
    </row>
    <row r="102" spans="1:13" x14ac:dyDescent="0.25">
      <c r="A102">
        <v>1511</v>
      </c>
      <c r="B102">
        <v>10</v>
      </c>
      <c r="C102">
        <v>1800821676</v>
      </c>
      <c r="D102">
        <v>0</v>
      </c>
      <c r="E102">
        <v>0</v>
      </c>
      <c r="F102">
        <v>0</v>
      </c>
      <c r="G102">
        <v>1800821676</v>
      </c>
      <c r="J102" s="3">
        <v>4441</v>
      </c>
      <c r="K102" s="4">
        <v>0</v>
      </c>
      <c r="L102" s="4">
        <v>9125000</v>
      </c>
      <c r="M102" s="4">
        <v>0</v>
      </c>
    </row>
    <row r="103" spans="1:13" x14ac:dyDescent="0.25">
      <c r="A103">
        <v>1511</v>
      </c>
      <c r="B103">
        <v>60</v>
      </c>
      <c r="C103">
        <v>10849295</v>
      </c>
      <c r="D103">
        <v>0</v>
      </c>
      <c r="E103">
        <v>12852673</v>
      </c>
      <c r="F103">
        <v>27050000</v>
      </c>
      <c r="G103">
        <v>0</v>
      </c>
      <c r="J103" s="3">
        <v>4451</v>
      </c>
      <c r="K103" s="4">
        <v>0</v>
      </c>
      <c r="L103" s="4">
        <v>9197000</v>
      </c>
      <c r="M103" s="4">
        <v>0</v>
      </c>
    </row>
    <row r="104" spans="1:13" x14ac:dyDescent="0.25">
      <c r="A104">
        <v>1511</v>
      </c>
      <c r="B104">
        <v>74</v>
      </c>
      <c r="C104">
        <v>0</v>
      </c>
      <c r="D104">
        <v>0</v>
      </c>
      <c r="E104">
        <v>25200000</v>
      </c>
      <c r="F104">
        <v>25200000</v>
      </c>
      <c r="G104">
        <v>0</v>
      </c>
      <c r="J104" s="3">
        <v>4461</v>
      </c>
      <c r="K104" s="4">
        <v>2057137154</v>
      </c>
      <c r="L104" s="4">
        <v>11661191486</v>
      </c>
      <c r="M104" s="4">
        <v>0</v>
      </c>
    </row>
    <row r="105" spans="1:13" x14ac:dyDescent="0.25">
      <c r="A105">
        <v>1521</v>
      </c>
      <c r="B105">
        <v>10</v>
      </c>
      <c r="C105">
        <v>29323980</v>
      </c>
      <c r="D105">
        <v>0</v>
      </c>
      <c r="E105">
        <v>0</v>
      </c>
      <c r="F105">
        <v>0</v>
      </c>
      <c r="G105">
        <v>29323980</v>
      </c>
      <c r="J105" s="3">
        <v>4481</v>
      </c>
      <c r="K105" s="4">
        <v>0</v>
      </c>
      <c r="L105" s="4">
        <v>0</v>
      </c>
      <c r="M105" s="4">
        <v>1050</v>
      </c>
    </row>
    <row r="106" spans="1:13" x14ac:dyDescent="0.25">
      <c r="A106">
        <v>1541</v>
      </c>
      <c r="B106">
        <v>10</v>
      </c>
      <c r="C106">
        <v>51366022</v>
      </c>
      <c r="D106">
        <v>0</v>
      </c>
      <c r="E106">
        <v>0</v>
      </c>
      <c r="F106">
        <v>51366022</v>
      </c>
      <c r="G106">
        <v>0</v>
      </c>
      <c r="J106" s="3">
        <v>4491</v>
      </c>
      <c r="K106" s="4">
        <v>0</v>
      </c>
      <c r="L106" s="4">
        <v>21000</v>
      </c>
      <c r="M106" s="4">
        <v>10000000</v>
      </c>
    </row>
    <row r="107" spans="1:13" x14ac:dyDescent="0.25">
      <c r="A107">
        <v>1541</v>
      </c>
      <c r="B107">
        <v>60</v>
      </c>
      <c r="C107">
        <v>131169</v>
      </c>
      <c r="D107">
        <v>0</v>
      </c>
      <c r="E107">
        <v>0</v>
      </c>
      <c r="F107">
        <v>131169</v>
      </c>
      <c r="G107">
        <v>0</v>
      </c>
      <c r="J107" s="3">
        <v>4501</v>
      </c>
      <c r="K107" s="4">
        <v>0</v>
      </c>
      <c r="L107" s="4">
        <v>401000</v>
      </c>
      <c r="M107" s="4">
        <v>0</v>
      </c>
    </row>
    <row r="108" spans="1:13" x14ac:dyDescent="0.25">
      <c r="A108">
        <v>1551</v>
      </c>
      <c r="B108">
        <v>10</v>
      </c>
      <c r="C108">
        <v>85802503</v>
      </c>
      <c r="D108">
        <v>0</v>
      </c>
      <c r="E108">
        <v>0</v>
      </c>
      <c r="F108">
        <v>0</v>
      </c>
      <c r="G108">
        <v>85802503</v>
      </c>
      <c r="J108" s="3">
        <v>4511</v>
      </c>
      <c r="K108" s="4">
        <v>0</v>
      </c>
      <c r="L108" s="4">
        <v>247600000</v>
      </c>
      <c r="M108" s="4">
        <v>0</v>
      </c>
    </row>
    <row r="109" spans="1:13" x14ac:dyDescent="0.25">
      <c r="A109">
        <v>1551</v>
      </c>
      <c r="B109">
        <v>60</v>
      </c>
      <c r="C109">
        <v>0</v>
      </c>
      <c r="D109">
        <v>12250000</v>
      </c>
      <c r="E109">
        <v>0</v>
      </c>
      <c r="F109">
        <v>0</v>
      </c>
      <c r="G109">
        <v>0</v>
      </c>
      <c r="J109" s="3">
        <v>4531</v>
      </c>
      <c r="K109" s="4">
        <v>0</v>
      </c>
      <c r="L109" s="4">
        <v>0</v>
      </c>
      <c r="M109" s="4">
        <v>1000</v>
      </c>
    </row>
    <row r="110" spans="1:13" x14ac:dyDescent="0.25">
      <c r="A110">
        <v>1551</v>
      </c>
      <c r="B110">
        <v>74</v>
      </c>
      <c r="C110">
        <v>0</v>
      </c>
      <c r="D110">
        <v>25200000</v>
      </c>
      <c r="E110">
        <v>0</v>
      </c>
      <c r="F110">
        <v>0</v>
      </c>
      <c r="G110">
        <v>0</v>
      </c>
      <c r="J110" s="3">
        <v>4541</v>
      </c>
      <c r="K110" s="4">
        <v>0</v>
      </c>
      <c r="L110" s="4">
        <v>31513500</v>
      </c>
      <c r="M110" s="4">
        <v>0</v>
      </c>
    </row>
    <row r="111" spans="1:13" x14ac:dyDescent="0.25">
      <c r="A111">
        <v>1551</v>
      </c>
      <c r="B111">
        <v>82</v>
      </c>
      <c r="C111">
        <v>13722416</v>
      </c>
      <c r="D111">
        <v>0</v>
      </c>
      <c r="E111">
        <v>0</v>
      </c>
      <c r="F111">
        <v>0</v>
      </c>
      <c r="G111">
        <v>13722416</v>
      </c>
      <c r="J111" s="3">
        <v>4551</v>
      </c>
      <c r="K111" s="4">
        <v>0</v>
      </c>
      <c r="L111" s="4">
        <v>51403152</v>
      </c>
      <c r="M111" s="4">
        <v>0</v>
      </c>
    </row>
    <row r="112" spans="1:13" x14ac:dyDescent="0.25">
      <c r="A112">
        <v>1571</v>
      </c>
      <c r="B112">
        <v>10</v>
      </c>
      <c r="C112">
        <v>12781378</v>
      </c>
      <c r="D112">
        <v>0</v>
      </c>
      <c r="E112">
        <v>0</v>
      </c>
      <c r="F112">
        <v>0</v>
      </c>
      <c r="G112">
        <v>12781378</v>
      </c>
      <c r="J112" s="3">
        <v>4571</v>
      </c>
      <c r="K112" s="4">
        <v>0</v>
      </c>
      <c r="L112" s="4">
        <v>0</v>
      </c>
      <c r="M112" s="4">
        <v>1050</v>
      </c>
    </row>
    <row r="113" spans="1:13" x14ac:dyDescent="0.25">
      <c r="A113">
        <v>1591</v>
      </c>
      <c r="B113">
        <v>10</v>
      </c>
      <c r="C113">
        <v>3136136</v>
      </c>
      <c r="D113">
        <v>0</v>
      </c>
      <c r="E113">
        <v>0</v>
      </c>
      <c r="F113">
        <v>0</v>
      </c>
      <c r="G113">
        <v>3136136</v>
      </c>
      <c r="J113" s="3">
        <v>4581</v>
      </c>
      <c r="K113" s="4">
        <v>0</v>
      </c>
      <c r="L113" s="4">
        <v>0</v>
      </c>
      <c r="M113" s="4">
        <v>1050</v>
      </c>
    </row>
    <row r="114" spans="1:13" x14ac:dyDescent="0.25">
      <c r="A114">
        <v>1591</v>
      </c>
      <c r="B114">
        <v>24</v>
      </c>
      <c r="C114">
        <v>126800000</v>
      </c>
      <c r="D114">
        <v>0</v>
      </c>
      <c r="E114">
        <v>0</v>
      </c>
      <c r="F114">
        <v>126800000</v>
      </c>
      <c r="G114">
        <v>0</v>
      </c>
      <c r="J114" s="3">
        <v>4601</v>
      </c>
      <c r="K114" s="4">
        <v>0</v>
      </c>
      <c r="L114" s="4">
        <v>50000</v>
      </c>
      <c r="M114" s="4">
        <v>0</v>
      </c>
    </row>
    <row r="115" spans="1:13" x14ac:dyDescent="0.25">
      <c r="A115">
        <v>1631</v>
      </c>
      <c r="B115">
        <v>10</v>
      </c>
      <c r="C115">
        <v>30339041</v>
      </c>
      <c r="D115">
        <v>0</v>
      </c>
      <c r="E115">
        <v>0</v>
      </c>
      <c r="F115">
        <v>0</v>
      </c>
      <c r="G115">
        <v>30339041</v>
      </c>
      <c r="J115" s="3">
        <v>9901</v>
      </c>
      <c r="K115" s="4">
        <v>0</v>
      </c>
      <c r="L115" s="4">
        <v>60140982794</v>
      </c>
      <c r="M115" s="4">
        <v>0</v>
      </c>
    </row>
    <row r="116" spans="1:13" x14ac:dyDescent="0.25">
      <c r="A116">
        <v>1641</v>
      </c>
      <c r="B116">
        <v>10</v>
      </c>
      <c r="C116">
        <v>14279484</v>
      </c>
      <c r="D116">
        <v>0</v>
      </c>
      <c r="E116">
        <v>0</v>
      </c>
      <c r="F116">
        <v>0</v>
      </c>
      <c r="G116">
        <v>14279484</v>
      </c>
      <c r="J116" s="3" t="s">
        <v>8</v>
      </c>
      <c r="K116" s="4">
        <v>2178559466</v>
      </c>
      <c r="L116" s="4">
        <v>83099833747</v>
      </c>
      <c r="M116" s="4">
        <v>72825069122</v>
      </c>
    </row>
    <row r="117" spans="1:13" x14ac:dyDescent="0.25">
      <c r="A117">
        <v>1641</v>
      </c>
      <c r="B117">
        <v>59</v>
      </c>
      <c r="C117">
        <v>33000</v>
      </c>
      <c r="D117">
        <v>0</v>
      </c>
      <c r="E117">
        <v>0</v>
      </c>
      <c r="F117">
        <v>33000</v>
      </c>
      <c r="G117">
        <v>0</v>
      </c>
    </row>
    <row r="118" spans="1:13" x14ac:dyDescent="0.25">
      <c r="A118">
        <v>1641</v>
      </c>
      <c r="B118">
        <v>60</v>
      </c>
      <c r="C118">
        <v>270000</v>
      </c>
      <c r="D118">
        <v>0</v>
      </c>
      <c r="E118">
        <v>0</v>
      </c>
      <c r="F118">
        <v>270000</v>
      </c>
      <c r="G118">
        <v>0</v>
      </c>
    </row>
    <row r="119" spans="1:13" x14ac:dyDescent="0.25">
      <c r="A119">
        <v>1641</v>
      </c>
      <c r="B119">
        <v>71</v>
      </c>
      <c r="C119">
        <v>7140000</v>
      </c>
      <c r="D119">
        <v>0</v>
      </c>
      <c r="E119">
        <v>0</v>
      </c>
      <c r="F119">
        <v>0</v>
      </c>
      <c r="G119">
        <v>7140000</v>
      </c>
    </row>
    <row r="120" spans="1:13" x14ac:dyDescent="0.25">
      <c r="A120">
        <v>1651</v>
      </c>
      <c r="B120">
        <v>10</v>
      </c>
      <c r="C120">
        <v>23538617</v>
      </c>
      <c r="D120">
        <v>0</v>
      </c>
      <c r="E120">
        <v>0</v>
      </c>
      <c r="F120">
        <v>0</v>
      </c>
      <c r="G120">
        <v>23538617</v>
      </c>
    </row>
    <row r="121" spans="1:13" x14ac:dyDescent="0.25">
      <c r="A121">
        <v>1651</v>
      </c>
      <c r="B121">
        <v>24</v>
      </c>
      <c r="C121">
        <v>3301359</v>
      </c>
      <c r="D121">
        <v>0</v>
      </c>
      <c r="E121">
        <v>0</v>
      </c>
      <c r="F121">
        <v>3301359</v>
      </c>
      <c r="G121">
        <v>0</v>
      </c>
    </row>
    <row r="122" spans="1:13" x14ac:dyDescent="0.25">
      <c r="A122">
        <v>1651</v>
      </c>
      <c r="B122">
        <v>60</v>
      </c>
      <c r="C122">
        <v>0</v>
      </c>
      <c r="D122">
        <v>2625000</v>
      </c>
      <c r="E122">
        <v>0</v>
      </c>
      <c r="F122">
        <v>0</v>
      </c>
      <c r="G122">
        <v>0</v>
      </c>
    </row>
    <row r="123" spans="1:13" x14ac:dyDescent="0.25">
      <c r="A123">
        <v>1661</v>
      </c>
      <c r="B123">
        <v>10</v>
      </c>
      <c r="C123">
        <v>114197159</v>
      </c>
      <c r="D123">
        <v>0</v>
      </c>
      <c r="E123">
        <v>0</v>
      </c>
      <c r="F123">
        <v>0</v>
      </c>
      <c r="G123">
        <v>114197159</v>
      </c>
    </row>
    <row r="124" spans="1:13" x14ac:dyDescent="0.25">
      <c r="A124">
        <v>1661</v>
      </c>
      <c r="B124">
        <v>25</v>
      </c>
      <c r="C124">
        <v>24900000</v>
      </c>
      <c r="D124">
        <v>0</v>
      </c>
      <c r="E124">
        <v>0</v>
      </c>
      <c r="F124">
        <v>0</v>
      </c>
      <c r="G124">
        <v>24900000</v>
      </c>
    </row>
    <row r="125" spans="1:13" x14ac:dyDescent="0.25">
      <c r="A125">
        <v>1661</v>
      </c>
      <c r="B125">
        <v>60</v>
      </c>
      <c r="C125">
        <v>0</v>
      </c>
      <c r="D125">
        <v>8149735</v>
      </c>
      <c r="E125">
        <v>0</v>
      </c>
      <c r="F125">
        <v>0</v>
      </c>
      <c r="G125">
        <v>0</v>
      </c>
    </row>
    <row r="126" spans="1:13" x14ac:dyDescent="0.25">
      <c r="A126">
        <v>1671</v>
      </c>
      <c r="B126">
        <v>10</v>
      </c>
      <c r="C126">
        <v>25801127</v>
      </c>
      <c r="D126">
        <v>0</v>
      </c>
      <c r="E126">
        <v>0</v>
      </c>
      <c r="F126">
        <v>0</v>
      </c>
      <c r="G126">
        <v>25801127</v>
      </c>
    </row>
    <row r="127" spans="1:13" x14ac:dyDescent="0.25">
      <c r="A127">
        <v>1671</v>
      </c>
      <c r="B127">
        <v>38</v>
      </c>
      <c r="C127">
        <v>15800000</v>
      </c>
      <c r="D127">
        <v>0</v>
      </c>
      <c r="E127">
        <v>0</v>
      </c>
      <c r="F127">
        <v>15800000</v>
      </c>
      <c r="G127">
        <v>0</v>
      </c>
    </row>
    <row r="128" spans="1:13" x14ac:dyDescent="0.25">
      <c r="A128">
        <v>1671</v>
      </c>
      <c r="B128">
        <v>45</v>
      </c>
      <c r="C128">
        <v>2400000</v>
      </c>
      <c r="D128">
        <v>0</v>
      </c>
      <c r="E128">
        <v>0</v>
      </c>
      <c r="F128">
        <v>2400000</v>
      </c>
      <c r="G128">
        <v>0</v>
      </c>
    </row>
    <row r="129" spans="1:7" x14ac:dyDescent="0.25">
      <c r="A129">
        <v>1671</v>
      </c>
      <c r="B129">
        <v>60</v>
      </c>
      <c r="C129">
        <v>1002000</v>
      </c>
      <c r="D129">
        <v>0</v>
      </c>
      <c r="E129">
        <v>0</v>
      </c>
      <c r="F129">
        <v>1600000</v>
      </c>
      <c r="G129">
        <v>0</v>
      </c>
    </row>
    <row r="130" spans="1:7" x14ac:dyDescent="0.25">
      <c r="A130">
        <v>1911</v>
      </c>
      <c r="B130">
        <v>10</v>
      </c>
      <c r="C130">
        <v>7920994662</v>
      </c>
      <c r="D130">
        <v>0</v>
      </c>
      <c r="E130">
        <v>0</v>
      </c>
      <c r="F130">
        <v>0</v>
      </c>
      <c r="G130">
        <v>7920994662</v>
      </c>
    </row>
    <row r="131" spans="1:7" x14ac:dyDescent="0.25">
      <c r="A131">
        <v>1911</v>
      </c>
      <c r="B131">
        <v>20</v>
      </c>
      <c r="C131">
        <v>12803385236</v>
      </c>
      <c r="D131">
        <v>0</v>
      </c>
      <c r="E131">
        <v>0</v>
      </c>
      <c r="F131">
        <v>0</v>
      </c>
      <c r="G131">
        <v>12803385236</v>
      </c>
    </row>
    <row r="132" spans="1:7" x14ac:dyDescent="0.25">
      <c r="A132">
        <v>1911</v>
      </c>
      <c r="B132">
        <v>27</v>
      </c>
      <c r="C132" s="1">
        <v>20000000</v>
      </c>
      <c r="D132">
        <v>0</v>
      </c>
      <c r="E132">
        <v>0</v>
      </c>
      <c r="F132">
        <v>0</v>
      </c>
      <c r="G132" s="1">
        <v>20000000</v>
      </c>
    </row>
    <row r="133" spans="1:7" x14ac:dyDescent="0.25">
      <c r="A133">
        <v>1911</v>
      </c>
      <c r="B133">
        <v>51</v>
      </c>
      <c r="C133">
        <v>42030033</v>
      </c>
      <c r="D133">
        <v>0</v>
      </c>
      <c r="E133">
        <v>0</v>
      </c>
      <c r="F133">
        <v>0</v>
      </c>
      <c r="G133">
        <v>42030033</v>
      </c>
    </row>
    <row r="134" spans="1:7" x14ac:dyDescent="0.25">
      <c r="A134">
        <v>1911</v>
      </c>
      <c r="B134">
        <v>52</v>
      </c>
      <c r="C134">
        <v>0</v>
      </c>
      <c r="D134">
        <v>15000</v>
      </c>
      <c r="E134">
        <v>0</v>
      </c>
      <c r="F134">
        <v>0</v>
      </c>
      <c r="G134">
        <v>0</v>
      </c>
    </row>
    <row r="135" spans="1:7" x14ac:dyDescent="0.25">
      <c r="A135">
        <v>1911</v>
      </c>
      <c r="B135">
        <v>53</v>
      </c>
      <c r="C135" s="1">
        <v>500000</v>
      </c>
      <c r="D135">
        <v>0</v>
      </c>
      <c r="E135">
        <v>0</v>
      </c>
      <c r="F135">
        <v>0</v>
      </c>
      <c r="G135" s="1">
        <v>500000</v>
      </c>
    </row>
    <row r="136" spans="1:7" x14ac:dyDescent="0.25">
      <c r="A136">
        <v>1911</v>
      </c>
      <c r="B136">
        <v>82</v>
      </c>
      <c r="C136">
        <v>3750640</v>
      </c>
      <c r="D136">
        <v>0</v>
      </c>
      <c r="E136">
        <v>0</v>
      </c>
      <c r="F136">
        <v>0</v>
      </c>
      <c r="G136">
        <v>3750640</v>
      </c>
    </row>
    <row r="137" spans="1:7" x14ac:dyDescent="0.25">
      <c r="A137">
        <v>1911</v>
      </c>
      <c r="B137">
        <v>83</v>
      </c>
      <c r="C137">
        <v>0</v>
      </c>
      <c r="D137" s="1">
        <v>500000</v>
      </c>
      <c r="E137">
        <v>0</v>
      </c>
      <c r="F137">
        <v>0</v>
      </c>
      <c r="G137">
        <v>0</v>
      </c>
    </row>
    <row r="138" spans="1:7" x14ac:dyDescent="0.25">
      <c r="A138">
        <v>1915</v>
      </c>
      <c r="B138">
        <v>10</v>
      </c>
      <c r="C138">
        <v>9000</v>
      </c>
      <c r="D138">
        <v>0</v>
      </c>
      <c r="E138">
        <v>0</v>
      </c>
      <c r="F138">
        <v>0</v>
      </c>
      <c r="G138">
        <v>9000</v>
      </c>
    </row>
    <row r="139" spans="1:7" x14ac:dyDescent="0.25">
      <c r="A139">
        <v>1915</v>
      </c>
      <c r="B139">
        <v>61</v>
      </c>
      <c r="C139">
        <v>0</v>
      </c>
      <c r="D139">
        <v>88000</v>
      </c>
      <c r="E139">
        <v>0</v>
      </c>
      <c r="F139">
        <v>0</v>
      </c>
      <c r="G139">
        <v>0</v>
      </c>
    </row>
    <row r="140" spans="1:7" x14ac:dyDescent="0.25">
      <c r="A140">
        <v>1916</v>
      </c>
      <c r="B140">
        <v>10</v>
      </c>
      <c r="C140">
        <v>6908641231</v>
      </c>
      <c r="D140">
        <v>0</v>
      </c>
      <c r="E140">
        <v>0</v>
      </c>
      <c r="F140">
        <v>0</v>
      </c>
      <c r="G140">
        <v>6908641231</v>
      </c>
    </row>
    <row r="141" spans="1:7" x14ac:dyDescent="0.25">
      <c r="A141">
        <v>1941</v>
      </c>
      <c r="B141">
        <v>10</v>
      </c>
      <c r="C141">
        <v>327442021</v>
      </c>
      <c r="D141">
        <v>0</v>
      </c>
      <c r="E141">
        <v>0</v>
      </c>
      <c r="F141">
        <v>0</v>
      </c>
      <c r="G141">
        <v>327442021</v>
      </c>
    </row>
    <row r="142" spans="1:7" x14ac:dyDescent="0.25">
      <c r="A142">
        <v>1941</v>
      </c>
      <c r="B142">
        <v>25</v>
      </c>
      <c r="C142" s="1">
        <v>40000000</v>
      </c>
      <c r="D142">
        <v>0</v>
      </c>
      <c r="E142">
        <v>0</v>
      </c>
      <c r="F142">
        <v>0</v>
      </c>
      <c r="G142" s="1">
        <v>40000000</v>
      </c>
    </row>
    <row r="143" spans="1:7" x14ac:dyDescent="0.25">
      <c r="A143">
        <v>1941</v>
      </c>
      <c r="B143">
        <v>71</v>
      </c>
      <c r="C143">
        <v>1218942</v>
      </c>
      <c r="D143">
        <v>0</v>
      </c>
      <c r="E143">
        <v>0</v>
      </c>
      <c r="F143">
        <v>0</v>
      </c>
      <c r="G143">
        <v>1218942</v>
      </c>
    </row>
    <row r="144" spans="1:7" x14ac:dyDescent="0.25">
      <c r="A144">
        <v>1991</v>
      </c>
      <c r="B144">
        <v>10</v>
      </c>
      <c r="C144">
        <v>512459837</v>
      </c>
      <c r="D144">
        <v>0</v>
      </c>
      <c r="E144">
        <v>0</v>
      </c>
      <c r="F144">
        <v>0</v>
      </c>
      <c r="G144">
        <v>512459837</v>
      </c>
    </row>
    <row r="145" spans="1:7" x14ac:dyDescent="0.25">
      <c r="A145">
        <v>2011</v>
      </c>
      <c r="B145">
        <v>49</v>
      </c>
      <c r="C145">
        <v>303224257</v>
      </c>
      <c r="D145">
        <v>0</v>
      </c>
      <c r="E145">
        <v>0</v>
      </c>
      <c r="F145">
        <v>303224257</v>
      </c>
      <c r="G145">
        <v>0</v>
      </c>
    </row>
    <row r="146" spans="1:7" x14ac:dyDescent="0.25">
      <c r="A146">
        <v>2011</v>
      </c>
      <c r="B146">
        <v>50</v>
      </c>
      <c r="C146">
        <v>571439114</v>
      </c>
      <c r="D146">
        <v>0</v>
      </c>
      <c r="E146">
        <v>0</v>
      </c>
      <c r="F146">
        <v>571439114</v>
      </c>
      <c r="G146">
        <v>0</v>
      </c>
    </row>
    <row r="147" spans="1:7" x14ac:dyDescent="0.25">
      <c r="A147">
        <v>2011</v>
      </c>
      <c r="B147">
        <v>60</v>
      </c>
      <c r="C147">
        <v>54680901</v>
      </c>
      <c r="D147">
        <v>0</v>
      </c>
      <c r="E147">
        <v>6179791</v>
      </c>
      <c r="F147">
        <v>99933125</v>
      </c>
      <c r="G147">
        <v>0</v>
      </c>
    </row>
    <row r="148" spans="1:7" x14ac:dyDescent="0.25">
      <c r="A148">
        <v>2041</v>
      </c>
      <c r="B148">
        <v>60</v>
      </c>
      <c r="C148">
        <v>11927651</v>
      </c>
      <c r="D148">
        <v>0</v>
      </c>
      <c r="E148">
        <v>3015107</v>
      </c>
      <c r="F148">
        <v>29300000</v>
      </c>
      <c r="G148">
        <v>0</v>
      </c>
    </row>
    <row r="149" spans="1:7" x14ac:dyDescent="0.25">
      <c r="A149">
        <v>2061</v>
      </c>
      <c r="B149">
        <v>10</v>
      </c>
      <c r="C149">
        <v>32454590</v>
      </c>
      <c r="D149">
        <v>0</v>
      </c>
      <c r="E149">
        <v>0</v>
      </c>
      <c r="F149">
        <v>0</v>
      </c>
      <c r="G149">
        <v>32454590</v>
      </c>
    </row>
    <row r="150" spans="1:7" x14ac:dyDescent="0.25">
      <c r="A150">
        <v>2061</v>
      </c>
      <c r="B150">
        <v>24</v>
      </c>
      <c r="C150">
        <v>112053</v>
      </c>
      <c r="D150">
        <v>0</v>
      </c>
      <c r="E150">
        <v>0</v>
      </c>
      <c r="F150">
        <v>112053</v>
      </c>
      <c r="G150">
        <v>0</v>
      </c>
    </row>
    <row r="151" spans="1:7" x14ac:dyDescent="0.25">
      <c r="A151">
        <v>2061</v>
      </c>
      <c r="B151">
        <v>45</v>
      </c>
      <c r="C151" s="1">
        <v>4000000</v>
      </c>
      <c r="D151">
        <v>0</v>
      </c>
      <c r="E151">
        <v>0</v>
      </c>
      <c r="F151" s="1">
        <v>4000000</v>
      </c>
      <c r="G151">
        <v>0</v>
      </c>
    </row>
    <row r="152" spans="1:7" x14ac:dyDescent="0.25">
      <c r="A152">
        <v>2061</v>
      </c>
      <c r="B152">
        <v>60</v>
      </c>
      <c r="C152">
        <v>3046382</v>
      </c>
      <c r="D152">
        <v>0</v>
      </c>
      <c r="E152">
        <v>0</v>
      </c>
      <c r="F152">
        <v>3901382</v>
      </c>
      <c r="G152">
        <v>0</v>
      </c>
    </row>
    <row r="153" spans="1:7" x14ac:dyDescent="0.25">
      <c r="A153">
        <v>2071</v>
      </c>
      <c r="B153">
        <v>10</v>
      </c>
      <c r="C153">
        <v>355451549</v>
      </c>
      <c r="D153">
        <v>0</v>
      </c>
      <c r="E153">
        <v>0</v>
      </c>
      <c r="F153">
        <v>0</v>
      </c>
      <c r="G153">
        <v>355451549</v>
      </c>
    </row>
    <row r="154" spans="1:7" x14ac:dyDescent="0.25">
      <c r="A154">
        <v>2071</v>
      </c>
      <c r="B154">
        <v>24</v>
      </c>
      <c r="C154">
        <v>7127672</v>
      </c>
      <c r="D154">
        <v>0</v>
      </c>
      <c r="E154">
        <v>0</v>
      </c>
      <c r="F154">
        <v>7127672</v>
      </c>
      <c r="G154">
        <v>0</v>
      </c>
    </row>
    <row r="155" spans="1:7" x14ac:dyDescent="0.25">
      <c r="A155">
        <v>2071</v>
      </c>
      <c r="B155">
        <v>60</v>
      </c>
      <c r="C155">
        <v>1655844</v>
      </c>
      <c r="D155">
        <v>0</v>
      </c>
      <c r="E155">
        <v>0</v>
      </c>
      <c r="F155">
        <v>10700000</v>
      </c>
      <c r="G155">
        <v>0</v>
      </c>
    </row>
    <row r="156" spans="1:7" x14ac:dyDescent="0.25">
      <c r="A156">
        <v>2071</v>
      </c>
      <c r="B156">
        <v>70</v>
      </c>
      <c r="C156">
        <v>23932169</v>
      </c>
      <c r="D156">
        <v>0</v>
      </c>
      <c r="E156">
        <v>0</v>
      </c>
      <c r="F156">
        <v>23932169</v>
      </c>
      <c r="G156">
        <v>0</v>
      </c>
    </row>
    <row r="157" spans="1:7" x14ac:dyDescent="0.25">
      <c r="A157">
        <v>2091</v>
      </c>
      <c r="B157">
        <v>10</v>
      </c>
      <c r="C157">
        <v>2200000</v>
      </c>
      <c r="D157">
        <v>0</v>
      </c>
      <c r="E157">
        <v>0</v>
      </c>
      <c r="F157">
        <v>0</v>
      </c>
      <c r="G157">
        <v>2200000</v>
      </c>
    </row>
    <row r="158" spans="1:7" x14ac:dyDescent="0.25">
      <c r="A158">
        <v>2091</v>
      </c>
      <c r="B158">
        <v>47</v>
      </c>
      <c r="C158">
        <v>25000</v>
      </c>
      <c r="D158">
        <v>0</v>
      </c>
      <c r="E158">
        <v>0</v>
      </c>
      <c r="F158">
        <v>25000</v>
      </c>
      <c r="G158">
        <v>0</v>
      </c>
    </row>
    <row r="159" spans="1:7" x14ac:dyDescent="0.25">
      <c r="A159">
        <v>2091</v>
      </c>
      <c r="B159">
        <v>52</v>
      </c>
      <c r="C159">
        <v>4971000</v>
      </c>
      <c r="D159">
        <v>0</v>
      </c>
      <c r="E159">
        <v>10029000</v>
      </c>
      <c r="F159" s="1">
        <v>15000000</v>
      </c>
      <c r="G159">
        <v>0</v>
      </c>
    </row>
    <row r="160" spans="1:7" x14ac:dyDescent="0.25">
      <c r="A160">
        <v>2091</v>
      </c>
      <c r="B160">
        <v>60</v>
      </c>
      <c r="C160">
        <v>29890000</v>
      </c>
      <c r="D160">
        <v>0</v>
      </c>
      <c r="E160">
        <v>60000</v>
      </c>
      <c r="F160">
        <v>29950000</v>
      </c>
      <c r="G160">
        <v>0</v>
      </c>
    </row>
    <row r="161" spans="1:7" x14ac:dyDescent="0.25">
      <c r="A161">
        <v>2101</v>
      </c>
      <c r="B161">
        <v>10</v>
      </c>
      <c r="C161">
        <v>1850000</v>
      </c>
      <c r="D161">
        <v>0</v>
      </c>
      <c r="E161">
        <v>0</v>
      </c>
      <c r="F161">
        <v>0</v>
      </c>
      <c r="G161">
        <v>1850000</v>
      </c>
    </row>
    <row r="162" spans="1:7" x14ac:dyDescent="0.25">
      <c r="A162">
        <v>2101</v>
      </c>
      <c r="B162">
        <v>26</v>
      </c>
      <c r="C162" s="1">
        <v>45000000</v>
      </c>
      <c r="D162">
        <v>0</v>
      </c>
      <c r="E162">
        <v>0</v>
      </c>
      <c r="F162" s="1">
        <v>45000000</v>
      </c>
      <c r="G162">
        <v>0</v>
      </c>
    </row>
    <row r="163" spans="1:7" x14ac:dyDescent="0.25">
      <c r="A163">
        <v>2101</v>
      </c>
      <c r="B163">
        <v>31</v>
      </c>
      <c r="C163" s="1">
        <v>5000000</v>
      </c>
      <c r="D163">
        <v>0</v>
      </c>
      <c r="E163">
        <v>0</v>
      </c>
      <c r="F163">
        <v>0</v>
      </c>
      <c r="G163" s="1">
        <v>5000000</v>
      </c>
    </row>
    <row r="164" spans="1:7" x14ac:dyDescent="0.25">
      <c r="A164">
        <v>2101</v>
      </c>
      <c r="B164">
        <v>47</v>
      </c>
      <c r="C164">
        <v>150000</v>
      </c>
      <c r="D164">
        <v>0</v>
      </c>
      <c r="E164">
        <v>0</v>
      </c>
      <c r="F164">
        <v>150000</v>
      </c>
      <c r="G164">
        <v>0</v>
      </c>
    </row>
    <row r="165" spans="1:7" x14ac:dyDescent="0.25">
      <c r="A165">
        <v>2101</v>
      </c>
      <c r="B165">
        <v>52</v>
      </c>
      <c r="C165" s="1">
        <v>1000000</v>
      </c>
      <c r="D165">
        <v>0</v>
      </c>
      <c r="E165">
        <v>0</v>
      </c>
      <c r="F165" s="1">
        <v>1000000</v>
      </c>
      <c r="G165">
        <v>0</v>
      </c>
    </row>
    <row r="166" spans="1:7" x14ac:dyDescent="0.25">
      <c r="A166">
        <v>2101</v>
      </c>
      <c r="B166">
        <v>60</v>
      </c>
      <c r="C166">
        <v>29250000</v>
      </c>
      <c r="D166">
        <v>0</v>
      </c>
      <c r="E166" s="1">
        <v>600000</v>
      </c>
      <c r="F166">
        <v>29850000</v>
      </c>
      <c r="G166">
        <v>0</v>
      </c>
    </row>
    <row r="167" spans="1:7" x14ac:dyDescent="0.25">
      <c r="A167">
        <v>2101</v>
      </c>
      <c r="B167">
        <v>61</v>
      </c>
      <c r="C167" s="1">
        <v>58000000</v>
      </c>
      <c r="D167">
        <v>0</v>
      </c>
      <c r="E167">
        <v>0</v>
      </c>
      <c r="F167" s="1">
        <v>58000000</v>
      </c>
      <c r="G167">
        <v>0</v>
      </c>
    </row>
    <row r="168" spans="1:7" x14ac:dyDescent="0.25">
      <c r="A168">
        <v>2111</v>
      </c>
      <c r="B168">
        <v>10</v>
      </c>
      <c r="C168">
        <v>6942783</v>
      </c>
      <c r="D168">
        <v>0</v>
      </c>
      <c r="E168">
        <v>0</v>
      </c>
      <c r="F168">
        <v>0</v>
      </c>
      <c r="G168">
        <v>6942783</v>
      </c>
    </row>
    <row r="169" spans="1:7" x14ac:dyDescent="0.25">
      <c r="A169">
        <v>2111</v>
      </c>
      <c r="B169">
        <v>24</v>
      </c>
      <c r="C169">
        <v>38506896</v>
      </c>
      <c r="D169">
        <v>0</v>
      </c>
      <c r="E169">
        <v>0</v>
      </c>
      <c r="F169">
        <v>38506896</v>
      </c>
      <c r="G169">
        <v>0</v>
      </c>
    </row>
    <row r="170" spans="1:7" x14ac:dyDescent="0.25">
      <c r="A170">
        <v>2111</v>
      </c>
      <c r="B170">
        <v>47</v>
      </c>
      <c r="C170">
        <v>1000</v>
      </c>
      <c r="D170">
        <v>0</v>
      </c>
      <c r="E170">
        <v>0</v>
      </c>
      <c r="F170">
        <v>2170000</v>
      </c>
      <c r="G170">
        <v>0</v>
      </c>
    </row>
    <row r="171" spans="1:7" x14ac:dyDescent="0.25">
      <c r="A171">
        <v>2111</v>
      </c>
      <c r="B171">
        <v>60</v>
      </c>
      <c r="C171">
        <v>5308000</v>
      </c>
      <c r="D171">
        <v>0</v>
      </c>
      <c r="E171">
        <v>0</v>
      </c>
      <c r="F171">
        <v>5308000</v>
      </c>
      <c r="G171">
        <v>0</v>
      </c>
    </row>
    <row r="172" spans="1:7" x14ac:dyDescent="0.25">
      <c r="A172">
        <v>2121</v>
      </c>
      <c r="B172">
        <v>47</v>
      </c>
      <c r="C172">
        <v>5000</v>
      </c>
      <c r="D172">
        <v>0</v>
      </c>
      <c r="E172">
        <v>0</v>
      </c>
      <c r="F172">
        <v>5000</v>
      </c>
      <c r="G172">
        <v>0</v>
      </c>
    </row>
    <row r="173" spans="1:7" x14ac:dyDescent="0.25">
      <c r="A173">
        <v>2121</v>
      </c>
      <c r="B173">
        <v>49</v>
      </c>
      <c r="C173">
        <v>1364826100</v>
      </c>
      <c r="D173">
        <v>0</v>
      </c>
      <c r="E173">
        <v>0</v>
      </c>
      <c r="F173">
        <v>1364826100</v>
      </c>
      <c r="G173">
        <v>0</v>
      </c>
    </row>
    <row r="174" spans="1:7" x14ac:dyDescent="0.25">
      <c r="A174">
        <v>2121</v>
      </c>
      <c r="B174">
        <v>50</v>
      </c>
      <c r="C174">
        <v>682408600</v>
      </c>
      <c r="D174">
        <v>0</v>
      </c>
      <c r="E174">
        <v>0</v>
      </c>
      <c r="F174">
        <v>682408600</v>
      </c>
      <c r="G174">
        <v>0</v>
      </c>
    </row>
    <row r="175" spans="1:7" x14ac:dyDescent="0.25">
      <c r="A175">
        <v>2121</v>
      </c>
      <c r="B175">
        <v>60</v>
      </c>
      <c r="C175">
        <v>71458827</v>
      </c>
      <c r="D175">
        <v>0</v>
      </c>
      <c r="E175">
        <v>425980</v>
      </c>
      <c r="F175">
        <v>110379991</v>
      </c>
      <c r="G175">
        <v>0</v>
      </c>
    </row>
    <row r="176" spans="1:7" x14ac:dyDescent="0.25">
      <c r="A176">
        <v>2141</v>
      </c>
      <c r="B176">
        <v>10</v>
      </c>
      <c r="C176">
        <v>24478406</v>
      </c>
      <c r="D176">
        <v>0</v>
      </c>
      <c r="E176">
        <v>0</v>
      </c>
      <c r="F176">
        <v>1000</v>
      </c>
      <c r="G176">
        <v>24477406</v>
      </c>
    </row>
    <row r="177" spans="1:7" x14ac:dyDescent="0.25">
      <c r="A177">
        <v>2141</v>
      </c>
      <c r="B177">
        <v>24</v>
      </c>
      <c r="C177">
        <v>73072976</v>
      </c>
      <c r="D177">
        <v>0</v>
      </c>
      <c r="E177">
        <v>0</v>
      </c>
      <c r="F177">
        <v>73072976</v>
      </c>
      <c r="G177">
        <v>0</v>
      </c>
    </row>
    <row r="178" spans="1:7" x14ac:dyDescent="0.25">
      <c r="A178">
        <v>2141</v>
      </c>
      <c r="B178">
        <v>25</v>
      </c>
      <c r="C178">
        <v>65671479</v>
      </c>
      <c r="D178">
        <v>0</v>
      </c>
      <c r="E178">
        <v>0</v>
      </c>
      <c r="F178">
        <v>0</v>
      </c>
      <c r="G178">
        <v>65671479</v>
      </c>
    </row>
    <row r="179" spans="1:7" x14ac:dyDescent="0.25">
      <c r="A179">
        <v>2141</v>
      </c>
      <c r="B179">
        <v>60</v>
      </c>
      <c r="C179">
        <v>11177321</v>
      </c>
      <c r="D179">
        <v>0</v>
      </c>
      <c r="E179">
        <v>0</v>
      </c>
      <c r="F179">
        <v>11177321</v>
      </c>
      <c r="G179">
        <v>0</v>
      </c>
    </row>
    <row r="180" spans="1:7" x14ac:dyDescent="0.25">
      <c r="A180">
        <v>2151</v>
      </c>
      <c r="B180">
        <v>10</v>
      </c>
      <c r="C180">
        <v>9810503</v>
      </c>
      <c r="D180">
        <v>0</v>
      </c>
      <c r="E180">
        <v>0</v>
      </c>
      <c r="F180">
        <v>0</v>
      </c>
      <c r="G180">
        <v>9810503</v>
      </c>
    </row>
    <row r="181" spans="1:7" x14ac:dyDescent="0.25">
      <c r="A181">
        <v>2151</v>
      </c>
      <c r="B181">
        <v>60</v>
      </c>
      <c r="C181">
        <v>3000</v>
      </c>
      <c r="D181">
        <v>0</v>
      </c>
      <c r="E181">
        <v>0</v>
      </c>
      <c r="F181">
        <v>358200</v>
      </c>
      <c r="G181">
        <v>0</v>
      </c>
    </row>
    <row r="182" spans="1:7" x14ac:dyDescent="0.25">
      <c r="A182">
        <v>2161</v>
      </c>
      <c r="B182">
        <v>10</v>
      </c>
      <c r="C182">
        <v>4927951</v>
      </c>
      <c r="D182">
        <v>0</v>
      </c>
      <c r="E182">
        <v>0</v>
      </c>
      <c r="F182">
        <v>0</v>
      </c>
      <c r="G182">
        <v>4927951</v>
      </c>
    </row>
    <row r="183" spans="1:7" x14ac:dyDescent="0.25">
      <c r="A183">
        <v>2161</v>
      </c>
      <c r="B183">
        <v>47</v>
      </c>
      <c r="C183">
        <v>1000</v>
      </c>
      <c r="D183">
        <v>0</v>
      </c>
      <c r="E183">
        <v>0</v>
      </c>
      <c r="F183">
        <v>160000</v>
      </c>
      <c r="G183">
        <v>0</v>
      </c>
    </row>
    <row r="184" spans="1:7" x14ac:dyDescent="0.25">
      <c r="A184">
        <v>2161</v>
      </c>
      <c r="B184">
        <v>60</v>
      </c>
      <c r="C184">
        <v>48500</v>
      </c>
      <c r="D184">
        <v>0</v>
      </c>
      <c r="E184">
        <v>0</v>
      </c>
      <c r="F184">
        <v>48500</v>
      </c>
      <c r="G184">
        <v>0</v>
      </c>
    </row>
    <row r="185" spans="1:7" x14ac:dyDescent="0.25">
      <c r="A185">
        <v>2171</v>
      </c>
      <c r="B185">
        <v>10</v>
      </c>
      <c r="C185">
        <v>3226580</v>
      </c>
      <c r="D185">
        <v>0</v>
      </c>
      <c r="E185">
        <v>0</v>
      </c>
      <c r="F185">
        <v>0</v>
      </c>
      <c r="G185">
        <v>3226580</v>
      </c>
    </row>
    <row r="186" spans="1:7" x14ac:dyDescent="0.25">
      <c r="A186">
        <v>2171</v>
      </c>
      <c r="B186">
        <v>45</v>
      </c>
      <c r="C186">
        <v>421000</v>
      </c>
      <c r="D186">
        <v>0</v>
      </c>
      <c r="E186">
        <v>0</v>
      </c>
      <c r="F186">
        <v>421000</v>
      </c>
      <c r="G186">
        <v>0</v>
      </c>
    </row>
    <row r="187" spans="1:7" x14ac:dyDescent="0.25">
      <c r="A187">
        <v>2171</v>
      </c>
      <c r="B187">
        <v>60</v>
      </c>
      <c r="C187">
        <v>382785</v>
      </c>
      <c r="D187">
        <v>0</v>
      </c>
      <c r="E187">
        <v>0</v>
      </c>
      <c r="F187">
        <v>382785</v>
      </c>
      <c r="G187">
        <v>0</v>
      </c>
    </row>
    <row r="188" spans="1:7" x14ac:dyDescent="0.25">
      <c r="A188">
        <v>2181</v>
      </c>
      <c r="B188">
        <v>10</v>
      </c>
      <c r="C188">
        <v>38809459</v>
      </c>
      <c r="D188">
        <v>0</v>
      </c>
      <c r="E188">
        <v>0</v>
      </c>
      <c r="F188">
        <v>0</v>
      </c>
      <c r="G188">
        <v>38809459</v>
      </c>
    </row>
    <row r="189" spans="1:7" x14ac:dyDescent="0.25">
      <c r="A189">
        <v>2181</v>
      </c>
      <c r="B189">
        <v>60</v>
      </c>
      <c r="C189">
        <v>3790000</v>
      </c>
      <c r="D189">
        <v>0</v>
      </c>
      <c r="E189">
        <v>0</v>
      </c>
      <c r="F189">
        <v>3790000</v>
      </c>
      <c r="G189">
        <v>0</v>
      </c>
    </row>
    <row r="190" spans="1:7" x14ac:dyDescent="0.25">
      <c r="A190">
        <v>2201</v>
      </c>
      <c r="B190">
        <v>10</v>
      </c>
      <c r="C190">
        <v>15489954</v>
      </c>
      <c r="D190">
        <v>0</v>
      </c>
      <c r="E190">
        <v>0</v>
      </c>
      <c r="F190">
        <v>0</v>
      </c>
      <c r="G190">
        <v>15489954</v>
      </c>
    </row>
    <row r="191" spans="1:7" x14ac:dyDescent="0.25">
      <c r="A191">
        <v>2201</v>
      </c>
      <c r="B191">
        <v>45</v>
      </c>
      <c r="C191">
        <v>225626</v>
      </c>
      <c r="D191">
        <v>0</v>
      </c>
      <c r="E191">
        <v>0</v>
      </c>
      <c r="F191">
        <v>225626</v>
      </c>
      <c r="G191">
        <v>0</v>
      </c>
    </row>
    <row r="192" spans="1:7" x14ac:dyDescent="0.25">
      <c r="A192">
        <v>2201</v>
      </c>
      <c r="B192">
        <v>60</v>
      </c>
      <c r="C192">
        <v>8346</v>
      </c>
      <c r="D192">
        <v>0</v>
      </c>
      <c r="E192">
        <v>0</v>
      </c>
      <c r="F192">
        <v>8346</v>
      </c>
      <c r="G192">
        <v>0</v>
      </c>
    </row>
    <row r="193" spans="1:7" x14ac:dyDescent="0.25">
      <c r="A193">
        <v>2211</v>
      </c>
      <c r="B193">
        <v>10</v>
      </c>
      <c r="C193">
        <v>28597587</v>
      </c>
      <c r="D193">
        <v>0</v>
      </c>
      <c r="E193">
        <v>0</v>
      </c>
      <c r="F193">
        <v>0</v>
      </c>
      <c r="G193">
        <v>28597587</v>
      </c>
    </row>
    <row r="194" spans="1:7" x14ac:dyDescent="0.25">
      <c r="A194">
        <v>2211</v>
      </c>
      <c r="B194">
        <v>60</v>
      </c>
      <c r="C194" s="1">
        <v>1000000</v>
      </c>
      <c r="D194">
        <v>0</v>
      </c>
      <c r="E194">
        <v>0</v>
      </c>
      <c r="F194" s="1">
        <v>1000000</v>
      </c>
      <c r="G194">
        <v>0</v>
      </c>
    </row>
    <row r="195" spans="1:7" x14ac:dyDescent="0.25">
      <c r="A195">
        <v>2241</v>
      </c>
      <c r="B195">
        <v>10</v>
      </c>
      <c r="C195">
        <v>10000</v>
      </c>
      <c r="D195">
        <v>0</v>
      </c>
      <c r="E195">
        <v>0</v>
      </c>
      <c r="F195">
        <v>0</v>
      </c>
      <c r="G195">
        <v>10000</v>
      </c>
    </row>
    <row r="196" spans="1:7" x14ac:dyDescent="0.25">
      <c r="A196">
        <v>2241</v>
      </c>
      <c r="B196">
        <v>31</v>
      </c>
      <c r="C196">
        <v>10781478</v>
      </c>
      <c r="D196">
        <v>0</v>
      </c>
      <c r="E196">
        <v>0</v>
      </c>
      <c r="F196">
        <v>0</v>
      </c>
      <c r="G196">
        <v>10781478</v>
      </c>
    </row>
    <row r="197" spans="1:7" x14ac:dyDescent="0.25">
      <c r="A197">
        <v>2241</v>
      </c>
      <c r="B197">
        <v>47</v>
      </c>
      <c r="C197">
        <v>21000</v>
      </c>
      <c r="D197">
        <v>0</v>
      </c>
      <c r="E197">
        <v>0</v>
      </c>
      <c r="F197">
        <v>21000</v>
      </c>
      <c r="G197">
        <v>0</v>
      </c>
    </row>
    <row r="198" spans="1:7" x14ac:dyDescent="0.25">
      <c r="A198">
        <v>2241</v>
      </c>
      <c r="B198">
        <v>60</v>
      </c>
      <c r="C198">
        <v>10200000</v>
      </c>
      <c r="D198">
        <v>0</v>
      </c>
      <c r="E198">
        <v>0</v>
      </c>
      <c r="F198">
        <v>10200000</v>
      </c>
      <c r="G198">
        <v>0</v>
      </c>
    </row>
    <row r="199" spans="1:7" x14ac:dyDescent="0.25">
      <c r="A199">
        <v>2241</v>
      </c>
      <c r="B199">
        <v>61</v>
      </c>
      <c r="C199">
        <v>46542333</v>
      </c>
      <c r="D199">
        <v>0</v>
      </c>
      <c r="E199">
        <v>0</v>
      </c>
      <c r="F199">
        <v>46542333</v>
      </c>
      <c r="G199">
        <v>0</v>
      </c>
    </row>
    <row r="200" spans="1:7" x14ac:dyDescent="0.25">
      <c r="A200">
        <v>2251</v>
      </c>
      <c r="B200">
        <v>60</v>
      </c>
      <c r="C200">
        <v>34623136</v>
      </c>
      <c r="D200">
        <v>0</v>
      </c>
      <c r="E200">
        <v>0</v>
      </c>
      <c r="F200">
        <v>48556774</v>
      </c>
      <c r="G200">
        <v>0</v>
      </c>
    </row>
    <row r="201" spans="1:7" x14ac:dyDescent="0.25">
      <c r="A201">
        <v>2261</v>
      </c>
      <c r="B201">
        <v>10</v>
      </c>
      <c r="C201">
        <v>233718408</v>
      </c>
      <c r="D201">
        <v>0</v>
      </c>
      <c r="E201">
        <v>0</v>
      </c>
      <c r="F201">
        <v>233618408</v>
      </c>
      <c r="G201" s="1">
        <v>100000</v>
      </c>
    </row>
    <row r="202" spans="1:7" x14ac:dyDescent="0.25">
      <c r="A202">
        <v>2261</v>
      </c>
      <c r="B202">
        <v>60</v>
      </c>
      <c r="C202">
        <v>216395269</v>
      </c>
      <c r="D202">
        <v>0</v>
      </c>
      <c r="E202">
        <v>0</v>
      </c>
      <c r="F202">
        <v>656255053</v>
      </c>
      <c r="G202">
        <v>0</v>
      </c>
    </row>
    <row r="203" spans="1:7" x14ac:dyDescent="0.25">
      <c r="A203">
        <v>2271</v>
      </c>
      <c r="B203">
        <v>10</v>
      </c>
      <c r="C203">
        <v>1172263839</v>
      </c>
      <c r="D203">
        <v>0</v>
      </c>
      <c r="E203">
        <v>0</v>
      </c>
      <c r="F203">
        <v>1172263839</v>
      </c>
      <c r="G203">
        <v>0</v>
      </c>
    </row>
    <row r="204" spans="1:7" x14ac:dyDescent="0.25">
      <c r="A204">
        <v>2271</v>
      </c>
      <c r="B204">
        <v>60</v>
      </c>
      <c r="C204">
        <v>156440212</v>
      </c>
      <c r="D204">
        <v>0</v>
      </c>
      <c r="E204">
        <v>0</v>
      </c>
      <c r="F204">
        <v>156440212</v>
      </c>
      <c r="G204">
        <v>0</v>
      </c>
    </row>
    <row r="205" spans="1:7" x14ac:dyDescent="0.25">
      <c r="A205">
        <v>2281</v>
      </c>
      <c r="B205">
        <v>10</v>
      </c>
      <c r="C205">
        <v>2736218</v>
      </c>
      <c r="D205">
        <v>0</v>
      </c>
      <c r="E205">
        <v>0</v>
      </c>
      <c r="F205">
        <v>0</v>
      </c>
      <c r="G205">
        <v>2736218</v>
      </c>
    </row>
    <row r="206" spans="1:7" x14ac:dyDescent="0.25">
      <c r="A206">
        <v>2281</v>
      </c>
      <c r="B206">
        <v>36</v>
      </c>
      <c r="C206">
        <v>6713007</v>
      </c>
      <c r="D206">
        <v>0</v>
      </c>
      <c r="E206">
        <v>0</v>
      </c>
      <c r="F206">
        <v>6713007</v>
      </c>
      <c r="G206">
        <v>0</v>
      </c>
    </row>
    <row r="207" spans="1:7" x14ac:dyDescent="0.25">
      <c r="A207">
        <v>2281</v>
      </c>
      <c r="B207">
        <v>60</v>
      </c>
      <c r="C207">
        <v>2777437</v>
      </c>
      <c r="D207">
        <v>0</v>
      </c>
      <c r="E207">
        <v>0</v>
      </c>
      <c r="F207">
        <v>2862618</v>
      </c>
      <c r="G207">
        <v>0</v>
      </c>
    </row>
    <row r="208" spans="1:7" x14ac:dyDescent="0.25">
      <c r="A208">
        <v>2301</v>
      </c>
      <c r="B208">
        <v>10</v>
      </c>
      <c r="C208">
        <v>126592806</v>
      </c>
      <c r="D208">
        <v>0</v>
      </c>
      <c r="E208">
        <v>0</v>
      </c>
      <c r="F208">
        <v>0</v>
      </c>
      <c r="G208">
        <v>126592806</v>
      </c>
    </row>
    <row r="209" spans="1:7" x14ac:dyDescent="0.25">
      <c r="A209">
        <v>2301</v>
      </c>
      <c r="B209">
        <v>25</v>
      </c>
      <c r="C209">
        <v>797389093</v>
      </c>
      <c r="D209">
        <v>0</v>
      </c>
      <c r="E209">
        <v>0</v>
      </c>
      <c r="F209">
        <v>0</v>
      </c>
      <c r="G209">
        <v>797389093</v>
      </c>
    </row>
    <row r="210" spans="1:7" x14ac:dyDescent="0.25">
      <c r="A210">
        <v>2301</v>
      </c>
      <c r="B210">
        <v>47</v>
      </c>
      <c r="C210">
        <v>1000</v>
      </c>
      <c r="D210">
        <v>0</v>
      </c>
      <c r="E210">
        <v>0</v>
      </c>
      <c r="F210">
        <v>1884775</v>
      </c>
      <c r="G210">
        <v>0</v>
      </c>
    </row>
    <row r="211" spans="1:7" x14ac:dyDescent="0.25">
      <c r="A211">
        <v>2301</v>
      </c>
      <c r="B211">
        <v>51</v>
      </c>
      <c r="C211">
        <v>126225075</v>
      </c>
      <c r="D211">
        <v>0</v>
      </c>
      <c r="E211">
        <v>0</v>
      </c>
      <c r="F211">
        <v>0</v>
      </c>
      <c r="G211">
        <v>126225075</v>
      </c>
    </row>
    <row r="212" spans="1:7" x14ac:dyDescent="0.25">
      <c r="A212">
        <v>2301</v>
      </c>
      <c r="B212">
        <v>60</v>
      </c>
      <c r="C212">
        <v>121885128</v>
      </c>
      <c r="D212">
        <v>3000</v>
      </c>
      <c r="E212">
        <v>0</v>
      </c>
      <c r="F212">
        <v>121890069</v>
      </c>
      <c r="G212">
        <v>0</v>
      </c>
    </row>
    <row r="213" spans="1:7" x14ac:dyDescent="0.25">
      <c r="A213">
        <v>2301</v>
      </c>
      <c r="B213">
        <v>70</v>
      </c>
      <c r="C213">
        <v>57500000</v>
      </c>
      <c r="D213">
        <v>0</v>
      </c>
      <c r="E213">
        <v>0</v>
      </c>
      <c r="F213">
        <v>57500000</v>
      </c>
      <c r="G213">
        <v>0</v>
      </c>
    </row>
    <row r="214" spans="1:7" x14ac:dyDescent="0.25">
      <c r="A214">
        <v>2311</v>
      </c>
      <c r="B214">
        <v>10</v>
      </c>
      <c r="C214">
        <v>254402987</v>
      </c>
      <c r="D214">
        <v>0</v>
      </c>
      <c r="E214">
        <v>0</v>
      </c>
      <c r="F214">
        <v>35262000</v>
      </c>
      <c r="G214">
        <v>219140987</v>
      </c>
    </row>
    <row r="215" spans="1:7" x14ac:dyDescent="0.25">
      <c r="A215">
        <v>2311</v>
      </c>
      <c r="B215">
        <v>60</v>
      </c>
      <c r="C215">
        <v>9782575</v>
      </c>
      <c r="D215">
        <v>0</v>
      </c>
      <c r="E215">
        <v>96067</v>
      </c>
      <c r="F215">
        <v>18096321</v>
      </c>
      <c r="G215">
        <v>0</v>
      </c>
    </row>
    <row r="216" spans="1:7" x14ac:dyDescent="0.25">
      <c r="A216">
        <v>2321</v>
      </c>
      <c r="B216">
        <v>10</v>
      </c>
      <c r="C216">
        <v>206887967</v>
      </c>
      <c r="D216">
        <v>0</v>
      </c>
      <c r="E216">
        <v>0</v>
      </c>
      <c r="F216">
        <v>206887967</v>
      </c>
      <c r="G216">
        <v>0</v>
      </c>
    </row>
    <row r="217" spans="1:7" x14ac:dyDescent="0.25">
      <c r="A217">
        <v>2321</v>
      </c>
      <c r="B217">
        <v>60</v>
      </c>
      <c r="C217">
        <v>9802961</v>
      </c>
      <c r="D217">
        <v>0</v>
      </c>
      <c r="E217">
        <v>0</v>
      </c>
      <c r="F217">
        <v>75613288</v>
      </c>
      <c r="G217">
        <v>0</v>
      </c>
    </row>
    <row r="218" spans="1:7" x14ac:dyDescent="0.25">
      <c r="A218">
        <v>2331</v>
      </c>
      <c r="B218">
        <v>73</v>
      </c>
      <c r="C218" s="1">
        <v>42000000</v>
      </c>
      <c r="D218">
        <v>0</v>
      </c>
      <c r="E218">
        <v>0</v>
      </c>
      <c r="F218" s="1">
        <v>42000000</v>
      </c>
      <c r="G218">
        <v>0</v>
      </c>
    </row>
    <row r="219" spans="1:7" x14ac:dyDescent="0.25">
      <c r="A219">
        <v>2351</v>
      </c>
      <c r="B219">
        <v>10</v>
      </c>
      <c r="C219">
        <v>201458323</v>
      </c>
      <c r="D219">
        <v>0</v>
      </c>
      <c r="E219">
        <v>0</v>
      </c>
      <c r="F219">
        <v>0</v>
      </c>
      <c r="G219">
        <v>201458323</v>
      </c>
    </row>
    <row r="220" spans="1:7" x14ac:dyDescent="0.25">
      <c r="A220">
        <v>2351</v>
      </c>
      <c r="B220">
        <v>60</v>
      </c>
      <c r="C220">
        <v>622800</v>
      </c>
      <c r="D220">
        <v>0</v>
      </c>
      <c r="E220">
        <v>0</v>
      </c>
      <c r="F220">
        <v>622800</v>
      </c>
      <c r="G220">
        <v>0</v>
      </c>
    </row>
    <row r="221" spans="1:7" x14ac:dyDescent="0.25">
      <c r="A221">
        <v>2361</v>
      </c>
      <c r="B221">
        <v>60</v>
      </c>
      <c r="C221">
        <v>138014750</v>
      </c>
      <c r="D221">
        <v>0</v>
      </c>
      <c r="E221">
        <v>0</v>
      </c>
      <c r="F221">
        <v>138014750</v>
      </c>
      <c r="G221">
        <v>0</v>
      </c>
    </row>
    <row r="222" spans="1:7" x14ac:dyDescent="0.25">
      <c r="A222">
        <v>2371</v>
      </c>
      <c r="B222">
        <v>10</v>
      </c>
      <c r="C222">
        <v>102325952</v>
      </c>
      <c r="D222">
        <v>0</v>
      </c>
      <c r="E222">
        <v>0</v>
      </c>
      <c r="F222">
        <v>0</v>
      </c>
      <c r="G222">
        <v>102325952</v>
      </c>
    </row>
    <row r="223" spans="1:7" x14ac:dyDescent="0.25">
      <c r="A223">
        <v>2371</v>
      </c>
      <c r="B223">
        <v>24</v>
      </c>
      <c r="C223">
        <v>182766</v>
      </c>
      <c r="D223">
        <v>0</v>
      </c>
      <c r="E223">
        <v>0</v>
      </c>
      <c r="F223">
        <v>182766</v>
      </c>
      <c r="G223">
        <v>0</v>
      </c>
    </row>
    <row r="224" spans="1:7" x14ac:dyDescent="0.25">
      <c r="A224">
        <v>2371</v>
      </c>
      <c r="B224">
        <v>47</v>
      </c>
      <c r="C224">
        <v>1000</v>
      </c>
      <c r="D224">
        <v>0</v>
      </c>
      <c r="E224">
        <v>0</v>
      </c>
      <c r="F224" s="1">
        <v>100000</v>
      </c>
      <c r="G224">
        <v>0</v>
      </c>
    </row>
    <row r="225" spans="1:7" x14ac:dyDescent="0.25">
      <c r="A225">
        <v>2371</v>
      </c>
      <c r="B225">
        <v>60</v>
      </c>
      <c r="C225">
        <v>36799953</v>
      </c>
      <c r="D225">
        <v>0</v>
      </c>
      <c r="E225">
        <v>3197989</v>
      </c>
      <c r="F225">
        <v>39997942</v>
      </c>
      <c r="G225">
        <v>0</v>
      </c>
    </row>
    <row r="226" spans="1:7" x14ac:dyDescent="0.25">
      <c r="A226">
        <v>2381</v>
      </c>
      <c r="B226">
        <v>10</v>
      </c>
      <c r="C226">
        <v>1243388</v>
      </c>
      <c r="D226">
        <v>0</v>
      </c>
      <c r="E226">
        <v>0</v>
      </c>
      <c r="F226">
        <v>0</v>
      </c>
      <c r="G226">
        <v>1243388</v>
      </c>
    </row>
    <row r="227" spans="1:7" x14ac:dyDescent="0.25">
      <c r="A227">
        <v>2381</v>
      </c>
      <c r="B227">
        <v>60</v>
      </c>
      <c r="C227">
        <v>2065000</v>
      </c>
      <c r="D227">
        <v>0</v>
      </c>
      <c r="E227">
        <v>0</v>
      </c>
      <c r="F227">
        <v>2065000</v>
      </c>
      <c r="G227">
        <v>0</v>
      </c>
    </row>
    <row r="228" spans="1:7" x14ac:dyDescent="0.25">
      <c r="A228">
        <v>2391</v>
      </c>
      <c r="B228">
        <v>60</v>
      </c>
      <c r="C228">
        <v>61179373</v>
      </c>
      <c r="D228">
        <v>0</v>
      </c>
      <c r="E228">
        <v>0</v>
      </c>
      <c r="F228">
        <v>100348030</v>
      </c>
      <c r="G228">
        <v>0</v>
      </c>
    </row>
    <row r="229" spans="1:7" x14ac:dyDescent="0.25">
      <c r="A229">
        <v>2401</v>
      </c>
      <c r="B229">
        <v>10</v>
      </c>
      <c r="C229">
        <v>5801533</v>
      </c>
      <c r="D229">
        <v>0</v>
      </c>
      <c r="E229">
        <v>0</v>
      </c>
      <c r="F229">
        <v>0</v>
      </c>
      <c r="G229">
        <v>5801533</v>
      </c>
    </row>
    <row r="230" spans="1:7" x14ac:dyDescent="0.25">
      <c r="A230">
        <v>2401</v>
      </c>
      <c r="B230">
        <v>60</v>
      </c>
      <c r="C230">
        <v>1029443</v>
      </c>
      <c r="D230">
        <v>0</v>
      </c>
      <c r="E230">
        <v>0</v>
      </c>
      <c r="F230">
        <v>1050000</v>
      </c>
      <c r="G230">
        <v>0</v>
      </c>
    </row>
    <row r="231" spans="1:7" x14ac:dyDescent="0.25">
      <c r="A231">
        <v>2421</v>
      </c>
      <c r="B231">
        <v>10</v>
      </c>
      <c r="C231">
        <v>13983847</v>
      </c>
      <c r="D231">
        <v>0</v>
      </c>
      <c r="E231">
        <v>0</v>
      </c>
      <c r="F231">
        <v>0</v>
      </c>
      <c r="G231">
        <v>13983847</v>
      </c>
    </row>
    <row r="232" spans="1:7" x14ac:dyDescent="0.25">
      <c r="A232">
        <v>2421</v>
      </c>
      <c r="B232">
        <v>24</v>
      </c>
      <c r="C232">
        <v>46507158</v>
      </c>
      <c r="D232">
        <v>0</v>
      </c>
      <c r="E232">
        <v>0</v>
      </c>
      <c r="F232">
        <v>46507158</v>
      </c>
      <c r="G232">
        <v>0</v>
      </c>
    </row>
    <row r="233" spans="1:7" x14ac:dyDescent="0.25">
      <c r="A233">
        <v>2421</v>
      </c>
      <c r="B233">
        <v>36</v>
      </c>
      <c r="C233" s="1">
        <v>1000000</v>
      </c>
      <c r="D233">
        <v>0</v>
      </c>
      <c r="E233">
        <v>0</v>
      </c>
      <c r="F233" s="1">
        <v>1000000</v>
      </c>
      <c r="G233">
        <v>0</v>
      </c>
    </row>
    <row r="234" spans="1:7" x14ac:dyDescent="0.25">
      <c r="A234">
        <v>2421</v>
      </c>
      <c r="B234">
        <v>71</v>
      </c>
      <c r="C234">
        <v>23491650</v>
      </c>
      <c r="D234">
        <v>0</v>
      </c>
      <c r="E234">
        <v>0</v>
      </c>
      <c r="F234">
        <v>0</v>
      </c>
      <c r="G234">
        <v>23491650</v>
      </c>
    </row>
    <row r="235" spans="1:7" x14ac:dyDescent="0.25">
      <c r="A235">
        <v>2431</v>
      </c>
      <c r="B235">
        <v>10</v>
      </c>
      <c r="C235">
        <v>3929071</v>
      </c>
      <c r="D235">
        <v>0</v>
      </c>
      <c r="E235">
        <v>0</v>
      </c>
      <c r="F235">
        <v>0</v>
      </c>
      <c r="G235">
        <v>3929071</v>
      </c>
    </row>
    <row r="236" spans="1:7" x14ac:dyDescent="0.25">
      <c r="A236">
        <v>2431</v>
      </c>
      <c r="B236">
        <v>60</v>
      </c>
      <c r="C236">
        <v>313950</v>
      </c>
      <c r="D236">
        <v>0</v>
      </c>
      <c r="E236">
        <v>0</v>
      </c>
      <c r="F236">
        <v>480000</v>
      </c>
      <c r="G236">
        <v>0</v>
      </c>
    </row>
    <row r="237" spans="1:7" x14ac:dyDescent="0.25">
      <c r="A237">
        <v>2441</v>
      </c>
      <c r="B237">
        <v>60</v>
      </c>
      <c r="C237">
        <v>14079639</v>
      </c>
      <c r="D237">
        <v>0</v>
      </c>
      <c r="E237">
        <v>1245521</v>
      </c>
      <c r="F237">
        <v>30705344</v>
      </c>
      <c r="G237">
        <v>0</v>
      </c>
    </row>
    <row r="238" spans="1:7" x14ac:dyDescent="0.25">
      <c r="A238">
        <v>2451</v>
      </c>
      <c r="B238">
        <v>10</v>
      </c>
      <c r="C238">
        <v>3574622</v>
      </c>
      <c r="D238">
        <v>0</v>
      </c>
      <c r="E238">
        <v>0</v>
      </c>
      <c r="F238">
        <v>0</v>
      </c>
      <c r="G238">
        <v>3574622</v>
      </c>
    </row>
    <row r="239" spans="1:7" x14ac:dyDescent="0.25">
      <c r="A239">
        <v>2461</v>
      </c>
      <c r="B239">
        <v>10</v>
      </c>
      <c r="C239">
        <v>2992012</v>
      </c>
      <c r="D239">
        <v>0</v>
      </c>
      <c r="E239">
        <v>0</v>
      </c>
      <c r="F239">
        <v>0</v>
      </c>
      <c r="G239">
        <v>2992012</v>
      </c>
    </row>
    <row r="240" spans="1:7" x14ac:dyDescent="0.25">
      <c r="A240">
        <v>2461</v>
      </c>
      <c r="B240">
        <v>60</v>
      </c>
      <c r="C240">
        <v>40000</v>
      </c>
      <c r="D240">
        <v>0</v>
      </c>
      <c r="E240">
        <v>0</v>
      </c>
      <c r="F240">
        <v>40000</v>
      </c>
      <c r="G240">
        <v>0</v>
      </c>
    </row>
    <row r="241" spans="1:7" x14ac:dyDescent="0.25">
      <c r="A241">
        <v>3041</v>
      </c>
      <c r="B241">
        <v>10</v>
      </c>
      <c r="C241">
        <v>179838310</v>
      </c>
      <c r="D241">
        <v>0</v>
      </c>
      <c r="E241">
        <v>0</v>
      </c>
      <c r="F241">
        <v>0</v>
      </c>
      <c r="G241">
        <v>179838310</v>
      </c>
    </row>
    <row r="242" spans="1:7" x14ac:dyDescent="0.25">
      <c r="A242">
        <v>3041</v>
      </c>
      <c r="B242">
        <v>24</v>
      </c>
      <c r="C242" s="1">
        <v>7000000</v>
      </c>
      <c r="D242">
        <v>0</v>
      </c>
      <c r="E242">
        <v>0</v>
      </c>
      <c r="F242" s="1">
        <v>7000000</v>
      </c>
      <c r="G242">
        <v>0</v>
      </c>
    </row>
    <row r="243" spans="1:7" x14ac:dyDescent="0.25">
      <c r="A243">
        <v>3041</v>
      </c>
      <c r="B243">
        <v>60</v>
      </c>
      <c r="C243">
        <v>19246000</v>
      </c>
      <c r="D243">
        <v>0</v>
      </c>
      <c r="E243">
        <v>0</v>
      </c>
      <c r="F243">
        <v>19246000</v>
      </c>
      <c r="G243">
        <v>0</v>
      </c>
    </row>
    <row r="244" spans="1:7" x14ac:dyDescent="0.25">
      <c r="A244">
        <v>3041</v>
      </c>
      <c r="B244">
        <v>71</v>
      </c>
      <c r="C244">
        <v>2080645</v>
      </c>
      <c r="D244">
        <v>0</v>
      </c>
      <c r="E244">
        <v>0</v>
      </c>
      <c r="F244">
        <v>0</v>
      </c>
      <c r="G244">
        <v>2080645</v>
      </c>
    </row>
    <row r="245" spans="1:7" x14ac:dyDescent="0.25">
      <c r="A245">
        <v>3041</v>
      </c>
      <c r="B245">
        <v>74</v>
      </c>
      <c r="C245" s="1">
        <v>61000000</v>
      </c>
      <c r="D245">
        <v>0</v>
      </c>
      <c r="E245">
        <v>0</v>
      </c>
      <c r="F245" s="1">
        <v>61000000</v>
      </c>
      <c r="G245">
        <v>0</v>
      </c>
    </row>
    <row r="246" spans="1:7" x14ac:dyDescent="0.25">
      <c r="A246">
        <v>3051</v>
      </c>
      <c r="B246">
        <v>10</v>
      </c>
      <c r="C246">
        <v>72523315</v>
      </c>
      <c r="D246">
        <v>0</v>
      </c>
      <c r="E246">
        <v>0</v>
      </c>
      <c r="F246">
        <v>0</v>
      </c>
      <c r="G246">
        <v>72523315</v>
      </c>
    </row>
    <row r="247" spans="1:7" x14ac:dyDescent="0.25">
      <c r="A247">
        <v>3051</v>
      </c>
      <c r="B247">
        <v>47</v>
      </c>
      <c r="C247">
        <v>150000</v>
      </c>
      <c r="D247">
        <v>0</v>
      </c>
      <c r="E247">
        <v>0</v>
      </c>
      <c r="F247">
        <v>150000</v>
      </c>
      <c r="G247">
        <v>0</v>
      </c>
    </row>
    <row r="248" spans="1:7" x14ac:dyDescent="0.25">
      <c r="A248">
        <v>3051</v>
      </c>
      <c r="B248">
        <v>60</v>
      </c>
      <c r="C248">
        <v>9207630</v>
      </c>
      <c r="D248">
        <v>0</v>
      </c>
      <c r="E248">
        <v>0</v>
      </c>
      <c r="F248">
        <v>9207630</v>
      </c>
      <c r="G248">
        <v>0</v>
      </c>
    </row>
    <row r="249" spans="1:7" x14ac:dyDescent="0.25">
      <c r="A249">
        <v>3151</v>
      </c>
      <c r="B249">
        <v>10</v>
      </c>
      <c r="C249">
        <v>8589546</v>
      </c>
      <c r="D249">
        <v>0</v>
      </c>
      <c r="E249">
        <v>0</v>
      </c>
      <c r="F249">
        <v>0</v>
      </c>
      <c r="G249">
        <v>8589546</v>
      </c>
    </row>
    <row r="250" spans="1:7" x14ac:dyDescent="0.25">
      <c r="A250">
        <v>3151</v>
      </c>
      <c r="B250">
        <v>60</v>
      </c>
      <c r="C250">
        <v>2319100</v>
      </c>
      <c r="D250">
        <v>0</v>
      </c>
      <c r="E250">
        <v>0</v>
      </c>
      <c r="F250">
        <v>2319100</v>
      </c>
      <c r="G250">
        <v>0</v>
      </c>
    </row>
    <row r="251" spans="1:7" x14ac:dyDescent="0.25">
      <c r="A251">
        <v>4031</v>
      </c>
      <c r="B251">
        <v>10</v>
      </c>
      <c r="C251">
        <v>10000</v>
      </c>
      <c r="D251">
        <v>0</v>
      </c>
      <c r="E251">
        <v>0</v>
      </c>
      <c r="F251">
        <v>0</v>
      </c>
      <c r="G251">
        <v>10000</v>
      </c>
    </row>
    <row r="252" spans="1:7" x14ac:dyDescent="0.25">
      <c r="A252">
        <v>4031</v>
      </c>
      <c r="B252">
        <v>24</v>
      </c>
      <c r="C252">
        <v>211435</v>
      </c>
      <c r="D252">
        <v>0</v>
      </c>
      <c r="E252">
        <v>0</v>
      </c>
      <c r="F252">
        <v>211435</v>
      </c>
      <c r="G252">
        <v>0</v>
      </c>
    </row>
    <row r="253" spans="1:7" x14ac:dyDescent="0.25">
      <c r="A253">
        <v>4031</v>
      </c>
      <c r="B253">
        <v>47</v>
      </c>
      <c r="C253" s="1">
        <v>400000</v>
      </c>
      <c r="D253">
        <v>0</v>
      </c>
      <c r="E253">
        <v>0</v>
      </c>
      <c r="F253" s="1">
        <v>400000</v>
      </c>
      <c r="G253">
        <v>0</v>
      </c>
    </row>
    <row r="254" spans="1:7" x14ac:dyDescent="0.25">
      <c r="A254">
        <v>4031</v>
      </c>
      <c r="B254">
        <v>60</v>
      </c>
      <c r="C254">
        <v>413226218</v>
      </c>
      <c r="D254">
        <v>48254564</v>
      </c>
      <c r="E254">
        <v>0</v>
      </c>
      <c r="F254">
        <v>413226218</v>
      </c>
      <c r="G254">
        <v>0</v>
      </c>
    </row>
    <row r="255" spans="1:7" x14ac:dyDescent="0.25">
      <c r="A255">
        <v>4031</v>
      </c>
      <c r="B255">
        <v>70</v>
      </c>
      <c r="C255">
        <v>2945581</v>
      </c>
      <c r="D255">
        <v>0</v>
      </c>
      <c r="E255">
        <v>0</v>
      </c>
      <c r="F255">
        <v>2945581</v>
      </c>
      <c r="G255">
        <v>0</v>
      </c>
    </row>
    <row r="256" spans="1:7" x14ac:dyDescent="0.25">
      <c r="A256">
        <v>4031</v>
      </c>
      <c r="B256">
        <v>77</v>
      </c>
      <c r="C256">
        <v>664108136</v>
      </c>
      <c r="D256">
        <v>0</v>
      </c>
      <c r="E256">
        <v>367500</v>
      </c>
      <c r="F256">
        <v>664475636</v>
      </c>
      <c r="G256">
        <v>0</v>
      </c>
    </row>
    <row r="257" spans="1:7" x14ac:dyDescent="0.25">
      <c r="A257">
        <v>4041</v>
      </c>
      <c r="B257">
        <v>60</v>
      </c>
      <c r="C257">
        <v>1000</v>
      </c>
      <c r="D257">
        <v>0</v>
      </c>
      <c r="E257">
        <v>0</v>
      </c>
      <c r="F257">
        <v>2870000</v>
      </c>
      <c r="G257">
        <v>0</v>
      </c>
    </row>
    <row r="258" spans="1:7" x14ac:dyDescent="0.25">
      <c r="A258">
        <v>4061</v>
      </c>
      <c r="B258">
        <v>60</v>
      </c>
      <c r="C258">
        <v>1000</v>
      </c>
      <c r="D258">
        <v>0</v>
      </c>
      <c r="E258">
        <v>0</v>
      </c>
      <c r="F258">
        <v>19900000</v>
      </c>
      <c r="G258">
        <v>0</v>
      </c>
    </row>
    <row r="259" spans="1:7" x14ac:dyDescent="0.25">
      <c r="A259">
        <v>4091</v>
      </c>
      <c r="B259">
        <v>10</v>
      </c>
      <c r="C259">
        <v>850000</v>
      </c>
      <c r="D259">
        <v>0</v>
      </c>
      <c r="E259">
        <v>0</v>
      </c>
      <c r="F259">
        <v>0</v>
      </c>
      <c r="G259">
        <v>850000</v>
      </c>
    </row>
    <row r="260" spans="1:7" x14ac:dyDescent="0.25">
      <c r="A260">
        <v>4091</v>
      </c>
      <c r="B260">
        <v>45</v>
      </c>
      <c r="C260">
        <v>5137061</v>
      </c>
      <c r="D260">
        <v>0</v>
      </c>
      <c r="E260">
        <v>0</v>
      </c>
      <c r="F260">
        <v>5137061</v>
      </c>
      <c r="G260">
        <v>0</v>
      </c>
    </row>
    <row r="261" spans="1:7" x14ac:dyDescent="0.25">
      <c r="A261">
        <v>4101</v>
      </c>
      <c r="B261">
        <v>10</v>
      </c>
      <c r="C261">
        <v>60001000</v>
      </c>
      <c r="D261">
        <v>0</v>
      </c>
      <c r="E261">
        <v>0</v>
      </c>
      <c r="F261">
        <v>0</v>
      </c>
      <c r="G261">
        <v>60001000</v>
      </c>
    </row>
    <row r="262" spans="1:7" x14ac:dyDescent="0.25">
      <c r="A262">
        <v>4101</v>
      </c>
      <c r="B262">
        <v>59</v>
      </c>
      <c r="C262" s="1">
        <v>140000000</v>
      </c>
      <c r="D262">
        <v>0</v>
      </c>
      <c r="E262">
        <v>0</v>
      </c>
      <c r="F262" s="1">
        <v>140000000</v>
      </c>
      <c r="G262">
        <v>0</v>
      </c>
    </row>
    <row r="263" spans="1:7" x14ac:dyDescent="0.25">
      <c r="A263">
        <v>4101</v>
      </c>
      <c r="B263">
        <v>60</v>
      </c>
      <c r="C263">
        <v>44500000</v>
      </c>
      <c r="D263">
        <v>0</v>
      </c>
      <c r="E263">
        <v>0</v>
      </c>
      <c r="F263">
        <v>44500000</v>
      </c>
      <c r="G263">
        <v>0</v>
      </c>
    </row>
    <row r="264" spans="1:7" x14ac:dyDescent="0.25">
      <c r="A264">
        <v>4111</v>
      </c>
      <c r="B264">
        <v>60</v>
      </c>
      <c r="C264">
        <v>3000</v>
      </c>
      <c r="D264">
        <v>0</v>
      </c>
      <c r="E264">
        <v>0</v>
      </c>
      <c r="F264">
        <v>2024000</v>
      </c>
      <c r="G264">
        <v>0</v>
      </c>
    </row>
    <row r="265" spans="1:7" x14ac:dyDescent="0.25">
      <c r="A265">
        <v>4111</v>
      </c>
      <c r="B265">
        <v>61</v>
      </c>
      <c r="C265">
        <v>0</v>
      </c>
      <c r="D265">
        <v>0</v>
      </c>
      <c r="E265">
        <v>176000</v>
      </c>
      <c r="F265">
        <v>176000</v>
      </c>
      <c r="G265">
        <v>0</v>
      </c>
    </row>
    <row r="266" spans="1:7" x14ac:dyDescent="0.25">
      <c r="A266">
        <v>4121</v>
      </c>
      <c r="B266">
        <v>60</v>
      </c>
      <c r="C266" s="1">
        <v>35000000</v>
      </c>
      <c r="D266">
        <v>0</v>
      </c>
      <c r="E266">
        <v>0</v>
      </c>
      <c r="F266" s="1">
        <v>35000000</v>
      </c>
      <c r="G266">
        <v>0</v>
      </c>
    </row>
    <row r="267" spans="1:7" x14ac:dyDescent="0.25">
      <c r="A267">
        <v>4141</v>
      </c>
      <c r="B267">
        <v>39</v>
      </c>
      <c r="C267">
        <v>843250</v>
      </c>
      <c r="D267">
        <v>0</v>
      </c>
      <c r="E267">
        <v>0</v>
      </c>
      <c r="F267">
        <v>2500000</v>
      </c>
      <c r="G267">
        <v>0</v>
      </c>
    </row>
    <row r="268" spans="1:7" x14ac:dyDescent="0.25">
      <c r="A268">
        <v>4151</v>
      </c>
      <c r="B268">
        <v>60</v>
      </c>
      <c r="C268">
        <v>1000</v>
      </c>
      <c r="D268">
        <v>0</v>
      </c>
      <c r="E268">
        <v>0</v>
      </c>
      <c r="F268">
        <v>2000</v>
      </c>
      <c r="G268">
        <v>0</v>
      </c>
    </row>
    <row r="269" spans="1:7" x14ac:dyDescent="0.25">
      <c r="A269">
        <v>4171</v>
      </c>
      <c r="B269">
        <v>60</v>
      </c>
      <c r="C269">
        <v>1000</v>
      </c>
      <c r="D269">
        <v>0</v>
      </c>
      <c r="E269">
        <v>0</v>
      </c>
      <c r="F269">
        <v>2000</v>
      </c>
      <c r="G269">
        <v>0</v>
      </c>
    </row>
    <row r="270" spans="1:7" x14ac:dyDescent="0.25">
      <c r="A270">
        <v>4251</v>
      </c>
      <c r="B270">
        <v>10</v>
      </c>
      <c r="C270">
        <v>15455</v>
      </c>
      <c r="D270">
        <v>0</v>
      </c>
      <c r="E270">
        <v>0</v>
      </c>
      <c r="F270">
        <v>0</v>
      </c>
      <c r="G270">
        <v>15455</v>
      </c>
    </row>
    <row r="271" spans="1:7" x14ac:dyDescent="0.25">
      <c r="A271">
        <v>4251</v>
      </c>
      <c r="B271">
        <v>29</v>
      </c>
      <c r="C271">
        <v>71825</v>
      </c>
      <c r="D271">
        <v>0</v>
      </c>
      <c r="E271">
        <v>0</v>
      </c>
      <c r="F271">
        <v>0</v>
      </c>
      <c r="G271">
        <v>71825</v>
      </c>
    </row>
    <row r="272" spans="1:7" x14ac:dyDescent="0.25">
      <c r="A272">
        <v>4251</v>
      </c>
      <c r="B272">
        <v>56</v>
      </c>
      <c r="C272">
        <v>6500000</v>
      </c>
      <c r="D272">
        <v>0</v>
      </c>
      <c r="E272">
        <v>0</v>
      </c>
      <c r="F272">
        <v>6500000</v>
      </c>
      <c r="G272">
        <v>0</v>
      </c>
    </row>
    <row r="273" spans="1:7" x14ac:dyDescent="0.25">
      <c r="A273">
        <v>4251</v>
      </c>
      <c r="B273">
        <v>71</v>
      </c>
      <c r="C273">
        <v>93782461</v>
      </c>
      <c r="D273">
        <v>0</v>
      </c>
      <c r="E273">
        <v>0</v>
      </c>
      <c r="F273">
        <v>0</v>
      </c>
      <c r="G273">
        <v>93782461</v>
      </c>
    </row>
    <row r="274" spans="1:7" x14ac:dyDescent="0.25">
      <c r="A274">
        <v>4291</v>
      </c>
      <c r="B274">
        <v>10</v>
      </c>
      <c r="C274">
        <v>5121161605</v>
      </c>
      <c r="D274">
        <v>0</v>
      </c>
      <c r="E274">
        <v>0</v>
      </c>
      <c r="F274">
        <v>0</v>
      </c>
      <c r="G274">
        <v>5121161605</v>
      </c>
    </row>
    <row r="275" spans="1:7" x14ac:dyDescent="0.25">
      <c r="A275">
        <v>4291</v>
      </c>
      <c r="B275">
        <v>22</v>
      </c>
      <c r="C275">
        <v>900477915</v>
      </c>
      <c r="D275">
        <v>0</v>
      </c>
      <c r="E275">
        <v>0</v>
      </c>
      <c r="F275">
        <v>900477915</v>
      </c>
      <c r="G275">
        <v>0</v>
      </c>
    </row>
    <row r="276" spans="1:7" x14ac:dyDescent="0.25">
      <c r="A276">
        <v>4291</v>
      </c>
      <c r="B276">
        <v>29</v>
      </c>
      <c r="C276">
        <v>1229991</v>
      </c>
      <c r="D276">
        <v>0</v>
      </c>
      <c r="E276">
        <v>0</v>
      </c>
      <c r="F276">
        <v>0</v>
      </c>
      <c r="G276">
        <v>1229991</v>
      </c>
    </row>
    <row r="277" spans="1:7" x14ac:dyDescent="0.25">
      <c r="A277">
        <v>4291</v>
      </c>
      <c r="B277">
        <v>55</v>
      </c>
      <c r="C277">
        <v>22757177</v>
      </c>
      <c r="D277">
        <v>0</v>
      </c>
      <c r="E277">
        <v>0</v>
      </c>
      <c r="F277">
        <v>22757177</v>
      </c>
      <c r="G277">
        <v>0</v>
      </c>
    </row>
    <row r="278" spans="1:7" x14ac:dyDescent="0.25">
      <c r="A278">
        <v>4291</v>
      </c>
      <c r="B278">
        <v>60</v>
      </c>
      <c r="C278">
        <v>704500</v>
      </c>
      <c r="D278">
        <v>0</v>
      </c>
      <c r="E278">
        <v>0</v>
      </c>
      <c r="F278">
        <v>3322058</v>
      </c>
      <c r="G278">
        <v>0</v>
      </c>
    </row>
    <row r="279" spans="1:7" x14ac:dyDescent="0.25">
      <c r="A279">
        <v>4291</v>
      </c>
      <c r="B279">
        <v>84</v>
      </c>
      <c r="C279">
        <v>10832450</v>
      </c>
      <c r="D279">
        <v>0</v>
      </c>
      <c r="E279">
        <v>0</v>
      </c>
      <c r="F279">
        <v>10832450</v>
      </c>
      <c r="G279">
        <v>0</v>
      </c>
    </row>
    <row r="280" spans="1:7" x14ac:dyDescent="0.25">
      <c r="A280">
        <v>4291</v>
      </c>
      <c r="B280">
        <v>85</v>
      </c>
      <c r="C280">
        <v>61563924</v>
      </c>
      <c r="D280">
        <v>0</v>
      </c>
      <c r="E280">
        <v>0</v>
      </c>
      <c r="F280">
        <v>61563924</v>
      </c>
      <c r="G280">
        <v>0</v>
      </c>
    </row>
    <row r="281" spans="1:7" x14ac:dyDescent="0.25">
      <c r="A281">
        <v>4291</v>
      </c>
      <c r="B281">
        <v>86</v>
      </c>
      <c r="C281">
        <v>194400568</v>
      </c>
      <c r="D281">
        <v>0</v>
      </c>
      <c r="E281">
        <v>0</v>
      </c>
      <c r="F281">
        <v>194400568</v>
      </c>
      <c r="G281">
        <v>0</v>
      </c>
    </row>
    <row r="282" spans="1:7" x14ac:dyDescent="0.25">
      <c r="A282">
        <v>4291</v>
      </c>
      <c r="B282">
        <v>87</v>
      </c>
      <c r="C282">
        <v>16786537</v>
      </c>
      <c r="D282">
        <v>0</v>
      </c>
      <c r="E282">
        <v>0</v>
      </c>
      <c r="F282">
        <v>16786537</v>
      </c>
      <c r="G282">
        <v>0</v>
      </c>
    </row>
    <row r="283" spans="1:7" x14ac:dyDescent="0.25">
      <c r="A283">
        <v>4321</v>
      </c>
      <c r="B283">
        <v>10</v>
      </c>
      <c r="C283">
        <v>11050</v>
      </c>
      <c r="D283">
        <v>0</v>
      </c>
      <c r="E283">
        <v>0</v>
      </c>
      <c r="F283">
        <v>0</v>
      </c>
      <c r="G283">
        <v>11050</v>
      </c>
    </row>
    <row r="284" spans="1:7" x14ac:dyDescent="0.25">
      <c r="A284">
        <v>4331</v>
      </c>
      <c r="B284">
        <v>10</v>
      </c>
      <c r="C284" s="1">
        <v>5000000</v>
      </c>
      <c r="D284">
        <v>0</v>
      </c>
      <c r="E284">
        <v>0</v>
      </c>
      <c r="F284">
        <v>0</v>
      </c>
      <c r="G284" s="1">
        <v>5000000</v>
      </c>
    </row>
    <row r="285" spans="1:7" x14ac:dyDescent="0.25">
      <c r="A285">
        <v>4331</v>
      </c>
      <c r="B285">
        <v>59</v>
      </c>
      <c r="C285" s="1">
        <v>5000000</v>
      </c>
      <c r="D285">
        <v>0</v>
      </c>
      <c r="E285">
        <v>0</v>
      </c>
      <c r="F285" s="1">
        <v>5000000</v>
      </c>
      <c r="G285">
        <v>0</v>
      </c>
    </row>
    <row r="286" spans="1:7" x14ac:dyDescent="0.25">
      <c r="A286">
        <v>4341</v>
      </c>
      <c r="B286">
        <v>10</v>
      </c>
      <c r="C286">
        <v>30000</v>
      </c>
      <c r="D286">
        <v>0</v>
      </c>
      <c r="E286">
        <v>0</v>
      </c>
      <c r="F286">
        <v>0</v>
      </c>
      <c r="G286">
        <v>30000</v>
      </c>
    </row>
    <row r="287" spans="1:7" x14ac:dyDescent="0.25">
      <c r="A287">
        <v>4341</v>
      </c>
      <c r="B287">
        <v>31</v>
      </c>
      <c r="C287">
        <v>67707426</v>
      </c>
      <c r="D287">
        <v>0</v>
      </c>
      <c r="E287">
        <v>0</v>
      </c>
      <c r="F287">
        <v>0</v>
      </c>
      <c r="G287">
        <v>67707426</v>
      </c>
    </row>
    <row r="288" spans="1:7" x14ac:dyDescent="0.25">
      <c r="A288">
        <v>4341</v>
      </c>
      <c r="B288">
        <v>32</v>
      </c>
      <c r="C288">
        <v>23454745</v>
      </c>
      <c r="D288">
        <v>0</v>
      </c>
      <c r="E288">
        <v>0</v>
      </c>
      <c r="F288">
        <v>0</v>
      </c>
      <c r="G288">
        <v>23454745</v>
      </c>
    </row>
    <row r="289" spans="1:7" x14ac:dyDescent="0.25">
      <c r="A289">
        <v>4341</v>
      </c>
      <c r="B289">
        <v>60</v>
      </c>
      <c r="C289">
        <v>630000</v>
      </c>
      <c r="D289">
        <v>0</v>
      </c>
      <c r="E289">
        <v>0</v>
      </c>
      <c r="F289">
        <v>630000</v>
      </c>
      <c r="G289">
        <v>0</v>
      </c>
    </row>
    <row r="290" spans="1:7" x14ac:dyDescent="0.25">
      <c r="A290">
        <v>4381</v>
      </c>
      <c r="B290">
        <v>25</v>
      </c>
      <c r="C290">
        <v>107094699</v>
      </c>
      <c r="D290">
        <v>0</v>
      </c>
      <c r="E290">
        <v>0</v>
      </c>
      <c r="F290">
        <v>0</v>
      </c>
      <c r="G290">
        <v>107094699</v>
      </c>
    </row>
    <row r="291" spans="1:7" x14ac:dyDescent="0.25">
      <c r="A291">
        <v>4381</v>
      </c>
      <c r="B291">
        <v>54</v>
      </c>
      <c r="C291">
        <v>2920625</v>
      </c>
      <c r="D291">
        <v>0</v>
      </c>
      <c r="E291">
        <v>1120</v>
      </c>
      <c r="F291">
        <v>2921745</v>
      </c>
      <c r="G291">
        <v>0</v>
      </c>
    </row>
    <row r="292" spans="1:7" x14ac:dyDescent="0.25">
      <c r="A292">
        <v>4381</v>
      </c>
      <c r="B292">
        <v>60</v>
      </c>
      <c r="C292">
        <v>3637169</v>
      </c>
      <c r="D292">
        <v>0</v>
      </c>
      <c r="E292">
        <v>1000</v>
      </c>
      <c r="F292">
        <v>60038932</v>
      </c>
      <c r="G292">
        <v>0</v>
      </c>
    </row>
    <row r="293" spans="1:7" x14ac:dyDescent="0.25">
      <c r="A293">
        <v>4381</v>
      </c>
      <c r="B293">
        <v>83</v>
      </c>
      <c r="C293">
        <v>10739451</v>
      </c>
      <c r="D293">
        <v>0</v>
      </c>
      <c r="E293">
        <v>10500000</v>
      </c>
      <c r="F293">
        <v>108043615</v>
      </c>
      <c r="G293">
        <v>0</v>
      </c>
    </row>
    <row r="294" spans="1:7" x14ac:dyDescent="0.25">
      <c r="A294">
        <v>4421</v>
      </c>
      <c r="B294">
        <v>10</v>
      </c>
      <c r="C294">
        <v>10000</v>
      </c>
      <c r="D294">
        <v>0</v>
      </c>
      <c r="E294">
        <v>0</v>
      </c>
      <c r="F294">
        <v>0</v>
      </c>
      <c r="G294">
        <v>10000</v>
      </c>
    </row>
    <row r="295" spans="1:7" x14ac:dyDescent="0.25">
      <c r="A295">
        <v>4421</v>
      </c>
      <c r="B295">
        <v>39</v>
      </c>
      <c r="C295">
        <v>1349107</v>
      </c>
      <c r="D295">
        <v>0</v>
      </c>
      <c r="E295">
        <v>0</v>
      </c>
      <c r="F295">
        <v>1349107</v>
      </c>
      <c r="G295">
        <v>0</v>
      </c>
    </row>
    <row r="296" spans="1:7" x14ac:dyDescent="0.25">
      <c r="A296">
        <v>4441</v>
      </c>
      <c r="B296">
        <v>60</v>
      </c>
      <c r="C296">
        <v>9125000</v>
      </c>
      <c r="D296">
        <v>0</v>
      </c>
      <c r="E296">
        <v>0</v>
      </c>
      <c r="F296">
        <v>9125000</v>
      </c>
      <c r="G296">
        <v>0</v>
      </c>
    </row>
    <row r="297" spans="1:7" x14ac:dyDescent="0.25">
      <c r="A297">
        <v>4451</v>
      </c>
      <c r="B297">
        <v>60</v>
      </c>
      <c r="C297">
        <v>9197000</v>
      </c>
      <c r="D297">
        <v>0</v>
      </c>
      <c r="E297">
        <v>0</v>
      </c>
      <c r="F297">
        <v>9197000</v>
      </c>
      <c r="G297">
        <v>0</v>
      </c>
    </row>
    <row r="298" spans="1:7" x14ac:dyDescent="0.25">
      <c r="A298">
        <v>4461</v>
      </c>
      <c r="B298">
        <v>42</v>
      </c>
      <c r="C298">
        <v>1656079523</v>
      </c>
      <c r="D298">
        <v>0</v>
      </c>
      <c r="E298">
        <v>720677089</v>
      </c>
      <c r="F298">
        <v>2376756612</v>
      </c>
      <c r="G298">
        <v>0</v>
      </c>
    </row>
    <row r="299" spans="1:7" x14ac:dyDescent="0.25">
      <c r="A299">
        <v>4461</v>
      </c>
      <c r="B299">
        <v>43</v>
      </c>
      <c r="C299">
        <v>1081106533</v>
      </c>
      <c r="D299">
        <v>0</v>
      </c>
      <c r="E299">
        <v>480525067</v>
      </c>
      <c r="F299">
        <v>1561631600</v>
      </c>
      <c r="G299">
        <v>0</v>
      </c>
    </row>
    <row r="300" spans="1:7" x14ac:dyDescent="0.25">
      <c r="A300">
        <v>4461</v>
      </c>
      <c r="B300">
        <v>44</v>
      </c>
      <c r="C300">
        <v>45112405</v>
      </c>
      <c r="D300">
        <v>0</v>
      </c>
      <c r="E300">
        <v>0</v>
      </c>
      <c r="F300">
        <v>45112405</v>
      </c>
      <c r="G300">
        <v>0</v>
      </c>
    </row>
    <row r="301" spans="1:7" x14ac:dyDescent="0.25">
      <c r="A301">
        <v>4461</v>
      </c>
      <c r="B301">
        <v>58</v>
      </c>
      <c r="C301">
        <v>6422783762</v>
      </c>
      <c r="D301">
        <v>0</v>
      </c>
      <c r="E301">
        <v>855934998</v>
      </c>
      <c r="F301">
        <v>7278718760</v>
      </c>
      <c r="G301">
        <v>0</v>
      </c>
    </row>
    <row r="302" spans="1:7" x14ac:dyDescent="0.25">
      <c r="A302">
        <v>4461</v>
      </c>
      <c r="B302">
        <v>60</v>
      </c>
      <c r="C302">
        <v>11972109</v>
      </c>
      <c r="D302">
        <v>0</v>
      </c>
      <c r="E302">
        <v>0</v>
      </c>
      <c r="F302">
        <v>11972109</v>
      </c>
      <c r="G302">
        <v>0</v>
      </c>
    </row>
    <row r="303" spans="1:7" x14ac:dyDescent="0.25">
      <c r="A303">
        <v>4461</v>
      </c>
      <c r="B303">
        <v>81</v>
      </c>
      <c r="C303" s="1">
        <v>387000000</v>
      </c>
      <c r="D303">
        <v>0</v>
      </c>
      <c r="E303">
        <v>0</v>
      </c>
      <c r="F303" s="1">
        <v>387000000</v>
      </c>
      <c r="G303">
        <v>0</v>
      </c>
    </row>
    <row r="304" spans="1:7" x14ac:dyDescent="0.25">
      <c r="A304">
        <v>4481</v>
      </c>
      <c r="B304">
        <v>10</v>
      </c>
      <c r="C304">
        <v>1050</v>
      </c>
      <c r="D304">
        <v>0</v>
      </c>
      <c r="E304">
        <v>0</v>
      </c>
      <c r="F304">
        <v>0</v>
      </c>
      <c r="G304">
        <v>1050</v>
      </c>
    </row>
    <row r="305" spans="1:7" x14ac:dyDescent="0.25">
      <c r="A305">
        <v>4491</v>
      </c>
      <c r="B305">
        <v>10</v>
      </c>
      <c r="C305" s="1">
        <v>10000000</v>
      </c>
      <c r="D305">
        <v>0</v>
      </c>
      <c r="E305">
        <v>0</v>
      </c>
      <c r="F305">
        <v>0</v>
      </c>
      <c r="G305" s="1">
        <v>10000000</v>
      </c>
    </row>
    <row r="306" spans="1:7" x14ac:dyDescent="0.25">
      <c r="A306">
        <v>4491</v>
      </c>
      <c r="B306">
        <v>60</v>
      </c>
      <c r="C306">
        <v>21000</v>
      </c>
      <c r="D306">
        <v>0</v>
      </c>
      <c r="E306">
        <v>0</v>
      </c>
      <c r="F306">
        <v>21000</v>
      </c>
      <c r="G306">
        <v>0</v>
      </c>
    </row>
    <row r="307" spans="1:7" x14ac:dyDescent="0.25">
      <c r="A307">
        <v>4491</v>
      </c>
      <c r="B307">
        <v>61</v>
      </c>
      <c r="C307">
        <v>0</v>
      </c>
      <c r="D307">
        <v>88000</v>
      </c>
      <c r="E307">
        <v>0</v>
      </c>
      <c r="F307">
        <v>0</v>
      </c>
      <c r="G307">
        <v>0</v>
      </c>
    </row>
    <row r="308" spans="1:7" x14ac:dyDescent="0.25">
      <c r="A308">
        <v>4501</v>
      </c>
      <c r="B308">
        <v>60</v>
      </c>
      <c r="C308">
        <v>1000</v>
      </c>
      <c r="D308">
        <v>0</v>
      </c>
      <c r="E308">
        <v>0</v>
      </c>
      <c r="F308">
        <v>401000</v>
      </c>
      <c r="G308">
        <v>0</v>
      </c>
    </row>
    <row r="309" spans="1:7" x14ac:dyDescent="0.25">
      <c r="A309">
        <v>4511</v>
      </c>
      <c r="B309">
        <v>60</v>
      </c>
      <c r="C309">
        <v>1800000</v>
      </c>
      <c r="D309">
        <v>0</v>
      </c>
      <c r="E309">
        <v>0</v>
      </c>
      <c r="F309">
        <v>247600000</v>
      </c>
      <c r="G309">
        <v>0</v>
      </c>
    </row>
    <row r="310" spans="1:7" x14ac:dyDescent="0.25">
      <c r="A310">
        <v>4531</v>
      </c>
      <c r="B310">
        <v>10</v>
      </c>
      <c r="C310">
        <v>1000</v>
      </c>
      <c r="D310">
        <v>0</v>
      </c>
      <c r="E310">
        <v>0</v>
      </c>
      <c r="F310">
        <v>0</v>
      </c>
      <c r="G310">
        <v>1000</v>
      </c>
    </row>
    <row r="311" spans="1:7" x14ac:dyDescent="0.25">
      <c r="A311">
        <v>4541</v>
      </c>
      <c r="B311">
        <v>60</v>
      </c>
      <c r="C311">
        <v>31513500</v>
      </c>
      <c r="D311">
        <v>0</v>
      </c>
      <c r="E311">
        <v>0</v>
      </c>
      <c r="F311">
        <v>31513500</v>
      </c>
      <c r="G311">
        <v>0</v>
      </c>
    </row>
    <row r="312" spans="1:7" x14ac:dyDescent="0.25">
      <c r="A312">
        <v>4551</v>
      </c>
      <c r="B312">
        <v>60</v>
      </c>
      <c r="C312">
        <v>51403152</v>
      </c>
      <c r="D312">
        <v>0</v>
      </c>
      <c r="E312">
        <v>0</v>
      </c>
      <c r="F312">
        <v>51403152</v>
      </c>
      <c r="G312">
        <v>0</v>
      </c>
    </row>
    <row r="313" spans="1:7" x14ac:dyDescent="0.25">
      <c r="A313">
        <v>4571</v>
      </c>
      <c r="B313">
        <v>10</v>
      </c>
      <c r="C313">
        <v>1050</v>
      </c>
      <c r="D313">
        <v>0</v>
      </c>
      <c r="E313">
        <v>0</v>
      </c>
      <c r="F313">
        <v>0</v>
      </c>
      <c r="G313">
        <v>1050</v>
      </c>
    </row>
    <row r="314" spans="1:7" x14ac:dyDescent="0.25">
      <c r="A314">
        <v>4581</v>
      </c>
      <c r="B314">
        <v>10</v>
      </c>
      <c r="C314">
        <v>1050</v>
      </c>
      <c r="D314">
        <v>0</v>
      </c>
      <c r="E314">
        <v>0</v>
      </c>
      <c r="F314">
        <v>0</v>
      </c>
      <c r="G314">
        <v>1050</v>
      </c>
    </row>
    <row r="315" spans="1:7" x14ac:dyDescent="0.25">
      <c r="A315">
        <v>4601</v>
      </c>
      <c r="B315">
        <v>45</v>
      </c>
      <c r="C315">
        <v>50000</v>
      </c>
      <c r="D315">
        <v>0</v>
      </c>
      <c r="E315">
        <v>0</v>
      </c>
      <c r="F315">
        <v>50000</v>
      </c>
      <c r="G315">
        <v>0</v>
      </c>
    </row>
    <row r="316" spans="1:7" x14ac:dyDescent="0.25">
      <c r="A316">
        <v>9901</v>
      </c>
      <c r="B316">
        <v>10</v>
      </c>
      <c r="C316">
        <v>0</v>
      </c>
      <c r="D316">
        <v>0</v>
      </c>
      <c r="E316">
        <v>0</v>
      </c>
      <c r="F316">
        <v>35204946219</v>
      </c>
      <c r="G316">
        <v>0</v>
      </c>
    </row>
    <row r="317" spans="1:7" x14ac:dyDescent="0.25">
      <c r="A317">
        <v>9901</v>
      </c>
      <c r="B317">
        <v>12</v>
      </c>
      <c r="C317">
        <v>0</v>
      </c>
      <c r="D317">
        <v>0</v>
      </c>
      <c r="E317">
        <v>0</v>
      </c>
      <c r="F317">
        <v>3217</v>
      </c>
      <c r="G317">
        <v>0</v>
      </c>
    </row>
    <row r="318" spans="1:7" x14ac:dyDescent="0.25">
      <c r="A318">
        <v>9901</v>
      </c>
      <c r="B318">
        <v>20</v>
      </c>
      <c r="C318">
        <v>0</v>
      </c>
      <c r="D318">
        <v>0</v>
      </c>
      <c r="E318">
        <v>0</v>
      </c>
      <c r="F318">
        <v>12803385236</v>
      </c>
      <c r="G318">
        <v>0</v>
      </c>
    </row>
    <row r="319" spans="1:7" x14ac:dyDescent="0.25">
      <c r="A319">
        <v>9901</v>
      </c>
      <c r="B319">
        <v>23</v>
      </c>
      <c r="C319">
        <v>0</v>
      </c>
      <c r="D319">
        <v>0</v>
      </c>
      <c r="E319">
        <v>0</v>
      </c>
      <c r="F319">
        <v>6921534461</v>
      </c>
      <c r="G319">
        <v>0</v>
      </c>
    </row>
    <row r="320" spans="1:7" x14ac:dyDescent="0.25">
      <c r="A320">
        <v>9901</v>
      </c>
      <c r="B320">
        <v>25</v>
      </c>
      <c r="C320">
        <v>0</v>
      </c>
      <c r="D320">
        <v>0</v>
      </c>
      <c r="E320">
        <v>0</v>
      </c>
      <c r="F320">
        <v>2093321852</v>
      </c>
      <c r="G320">
        <v>0</v>
      </c>
    </row>
    <row r="321" spans="1:7" x14ac:dyDescent="0.25">
      <c r="A321">
        <v>9901</v>
      </c>
      <c r="B321">
        <v>27</v>
      </c>
      <c r="C321">
        <v>0</v>
      </c>
      <c r="D321">
        <v>0</v>
      </c>
      <c r="E321">
        <v>0</v>
      </c>
      <c r="F321">
        <v>1409385755</v>
      </c>
      <c r="G321">
        <v>0</v>
      </c>
    </row>
    <row r="322" spans="1:7" x14ac:dyDescent="0.25">
      <c r="A322">
        <v>9901</v>
      </c>
      <c r="B322">
        <v>29</v>
      </c>
      <c r="C322">
        <v>0</v>
      </c>
      <c r="D322">
        <v>0</v>
      </c>
      <c r="E322">
        <v>0</v>
      </c>
      <c r="F322">
        <v>15114340</v>
      </c>
      <c r="G322">
        <v>0</v>
      </c>
    </row>
    <row r="323" spans="1:7" x14ac:dyDescent="0.25">
      <c r="A323">
        <v>9901</v>
      </c>
      <c r="B323">
        <v>30</v>
      </c>
      <c r="C323">
        <v>0</v>
      </c>
      <c r="D323">
        <v>0</v>
      </c>
      <c r="E323">
        <v>0</v>
      </c>
      <c r="F323">
        <v>153125616</v>
      </c>
      <c r="G323">
        <v>0</v>
      </c>
    </row>
    <row r="324" spans="1:7" x14ac:dyDescent="0.25">
      <c r="A324">
        <v>9901</v>
      </c>
      <c r="B324">
        <v>31</v>
      </c>
      <c r="C324">
        <v>0</v>
      </c>
      <c r="D324">
        <v>0</v>
      </c>
      <c r="E324">
        <v>0</v>
      </c>
      <c r="F324">
        <v>135414851</v>
      </c>
      <c r="G324">
        <v>0</v>
      </c>
    </row>
    <row r="325" spans="1:7" x14ac:dyDescent="0.25">
      <c r="A325">
        <v>9901</v>
      </c>
      <c r="B325">
        <v>32</v>
      </c>
      <c r="C325">
        <v>0</v>
      </c>
      <c r="D325">
        <v>0</v>
      </c>
      <c r="E325">
        <v>0</v>
      </c>
      <c r="F325">
        <v>178518781</v>
      </c>
      <c r="G325">
        <v>0</v>
      </c>
    </row>
    <row r="326" spans="1:7" x14ac:dyDescent="0.25">
      <c r="A326">
        <v>9901</v>
      </c>
      <c r="B326">
        <v>33</v>
      </c>
      <c r="C326">
        <v>0</v>
      </c>
      <c r="D326">
        <v>0</v>
      </c>
      <c r="E326">
        <v>0</v>
      </c>
      <c r="F326">
        <v>14052638</v>
      </c>
      <c r="G326">
        <v>0</v>
      </c>
    </row>
    <row r="327" spans="1:7" x14ac:dyDescent="0.25">
      <c r="A327">
        <v>9901</v>
      </c>
      <c r="B327">
        <v>40</v>
      </c>
      <c r="C327">
        <v>0</v>
      </c>
      <c r="D327">
        <v>0</v>
      </c>
      <c r="E327">
        <v>0</v>
      </c>
      <c r="F327">
        <v>6306602</v>
      </c>
      <c r="G327">
        <v>0</v>
      </c>
    </row>
    <row r="328" spans="1:7" x14ac:dyDescent="0.25">
      <c r="A328">
        <v>9901</v>
      </c>
      <c r="B328">
        <v>48</v>
      </c>
      <c r="C328">
        <v>0</v>
      </c>
      <c r="D328">
        <v>0</v>
      </c>
      <c r="E328">
        <v>0</v>
      </c>
      <c r="F328">
        <v>1288827</v>
      </c>
      <c r="G328">
        <v>0</v>
      </c>
    </row>
    <row r="329" spans="1:7" x14ac:dyDescent="0.25">
      <c r="A329">
        <v>9901</v>
      </c>
      <c r="B329">
        <v>51</v>
      </c>
      <c r="C329">
        <v>0</v>
      </c>
      <c r="D329">
        <v>0</v>
      </c>
      <c r="E329">
        <v>0</v>
      </c>
      <c r="F329">
        <v>168255108</v>
      </c>
      <c r="G329">
        <v>0</v>
      </c>
    </row>
    <row r="330" spans="1:7" x14ac:dyDescent="0.25">
      <c r="A330">
        <v>9901</v>
      </c>
      <c r="B330">
        <v>53</v>
      </c>
      <c r="C330">
        <v>0</v>
      </c>
      <c r="D330">
        <v>0</v>
      </c>
      <c r="E330">
        <v>0</v>
      </c>
      <c r="F330">
        <v>82159850</v>
      </c>
      <c r="G330">
        <v>0</v>
      </c>
    </row>
    <row r="331" spans="1:7" x14ac:dyDescent="0.25">
      <c r="A331">
        <v>9901</v>
      </c>
      <c r="B331">
        <v>71</v>
      </c>
      <c r="C331">
        <v>0</v>
      </c>
      <c r="D331">
        <v>0</v>
      </c>
      <c r="E331">
        <v>0</v>
      </c>
      <c r="F331">
        <v>233625552</v>
      </c>
      <c r="G331">
        <v>0</v>
      </c>
    </row>
    <row r="332" spans="1:7" x14ac:dyDescent="0.25">
      <c r="A332">
        <v>9901</v>
      </c>
      <c r="B332">
        <v>72</v>
      </c>
      <c r="C332">
        <v>0</v>
      </c>
      <c r="D332">
        <v>0</v>
      </c>
      <c r="E332">
        <v>0</v>
      </c>
      <c r="F332">
        <v>297642759</v>
      </c>
      <c r="G332">
        <v>0</v>
      </c>
    </row>
    <row r="333" spans="1:7" x14ac:dyDescent="0.25">
      <c r="A333">
        <v>9901</v>
      </c>
      <c r="B333">
        <v>75</v>
      </c>
      <c r="C333">
        <v>0</v>
      </c>
      <c r="D333">
        <v>0</v>
      </c>
      <c r="E333">
        <v>0</v>
      </c>
      <c r="F333">
        <v>347888326</v>
      </c>
      <c r="G333">
        <v>0</v>
      </c>
    </row>
    <row r="334" spans="1:7" x14ac:dyDescent="0.25">
      <c r="A334">
        <v>9901</v>
      </c>
      <c r="B334">
        <v>82</v>
      </c>
      <c r="C334">
        <v>0</v>
      </c>
      <c r="D334">
        <v>0</v>
      </c>
      <c r="E334">
        <v>0</v>
      </c>
      <c r="F334">
        <v>75012804</v>
      </c>
      <c r="G334">
        <v>0</v>
      </c>
    </row>
  </sheetData>
  <autoFilter ref="A1:G334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M114"/>
  <sheetViews>
    <sheetView tabSelected="1" workbookViewId="0">
      <selection activeCell="K23" sqref="K23"/>
    </sheetView>
  </sheetViews>
  <sheetFormatPr defaultRowHeight="15" x14ac:dyDescent="0.25"/>
  <cols>
    <col min="2" max="2" width="15.7109375" bestFit="1" customWidth="1"/>
    <col min="3" max="3" width="20" bestFit="1" customWidth="1"/>
    <col min="4" max="4" width="19.5703125" bestFit="1" customWidth="1"/>
    <col min="5" max="5" width="26.42578125" bestFit="1" customWidth="1"/>
    <col min="6" max="6" width="22.28515625" bestFit="1" customWidth="1"/>
    <col min="10" max="10" width="13.85546875" bestFit="1" customWidth="1"/>
    <col min="11" max="11" width="14" customWidth="1"/>
  </cols>
  <sheetData>
    <row r="2" spans="2:13" x14ac:dyDescent="0.25">
      <c r="B2" s="9" t="s">
        <v>7</v>
      </c>
      <c r="C2" s="9" t="s">
        <v>9</v>
      </c>
      <c r="D2" s="9" t="s">
        <v>10</v>
      </c>
      <c r="E2" s="9" t="s">
        <v>11</v>
      </c>
      <c r="F2" s="9" t="s">
        <v>13</v>
      </c>
      <c r="G2" s="9"/>
      <c r="H2" s="9"/>
      <c r="I2" s="9" t="s">
        <v>14</v>
      </c>
      <c r="J2" s="9" t="s">
        <v>15</v>
      </c>
      <c r="K2" s="9"/>
    </row>
    <row r="3" spans="2:13" hidden="1" x14ac:dyDescent="0.25">
      <c r="B3" s="9">
        <v>1011</v>
      </c>
      <c r="C3" s="9">
        <v>0</v>
      </c>
      <c r="D3" s="9">
        <v>2200000</v>
      </c>
      <c r="E3" s="9">
        <v>1265191992</v>
      </c>
      <c r="F3" s="10">
        <f>E3+D3-C3</f>
        <v>1267391992</v>
      </c>
      <c r="G3" s="9"/>
      <c r="H3" s="9"/>
      <c r="I3" s="11">
        <v>1011</v>
      </c>
      <c r="J3" s="10">
        <v>1267391992</v>
      </c>
      <c r="K3" s="10">
        <f>F3-J3</f>
        <v>0</v>
      </c>
      <c r="M3" t="s">
        <v>16</v>
      </c>
    </row>
    <row r="4" spans="2:13" hidden="1" x14ac:dyDescent="0.25">
      <c r="B4" s="9">
        <v>1021</v>
      </c>
      <c r="C4" s="9">
        <v>0</v>
      </c>
      <c r="D4" s="9">
        <v>3757333</v>
      </c>
      <c r="E4" s="9">
        <v>730078008</v>
      </c>
      <c r="F4" s="10">
        <f t="shared" ref="F4:F67" si="0">E4+D4-C4</f>
        <v>733835341</v>
      </c>
      <c r="G4" s="9"/>
      <c r="H4" s="9"/>
      <c r="I4" s="11">
        <v>1021</v>
      </c>
      <c r="J4" s="10">
        <v>733835341</v>
      </c>
      <c r="K4" s="10">
        <f t="shared" ref="K4:K67" si="1">F4-J4</f>
        <v>0</v>
      </c>
    </row>
    <row r="5" spans="2:13" hidden="1" x14ac:dyDescent="0.25">
      <c r="B5" s="9">
        <v>1031</v>
      </c>
      <c r="C5" s="9">
        <v>47474564</v>
      </c>
      <c r="D5" s="9">
        <v>47474564</v>
      </c>
      <c r="E5" s="9">
        <v>4276580905</v>
      </c>
      <c r="F5" s="10">
        <f t="shared" si="0"/>
        <v>4276580905</v>
      </c>
      <c r="G5" s="9"/>
      <c r="H5" s="9"/>
      <c r="I5" s="11">
        <v>1031</v>
      </c>
      <c r="J5" s="10">
        <v>4276580905</v>
      </c>
      <c r="K5" s="10">
        <f t="shared" si="1"/>
        <v>0</v>
      </c>
    </row>
    <row r="6" spans="2:13" hidden="1" x14ac:dyDescent="0.25">
      <c r="B6" s="9">
        <v>1051</v>
      </c>
      <c r="C6" s="9">
        <v>0</v>
      </c>
      <c r="D6" s="9">
        <v>770000</v>
      </c>
      <c r="E6" s="9">
        <v>52525022</v>
      </c>
      <c r="F6" s="10">
        <f t="shared" si="0"/>
        <v>53295022</v>
      </c>
      <c r="G6" s="9"/>
      <c r="H6" s="9"/>
      <c r="I6" s="11">
        <v>1051</v>
      </c>
      <c r="J6" s="10">
        <v>53295022</v>
      </c>
      <c r="K6" s="10">
        <f t="shared" si="1"/>
        <v>0</v>
      </c>
    </row>
    <row r="7" spans="2:13" hidden="1" x14ac:dyDescent="0.25">
      <c r="B7" s="9">
        <v>1071</v>
      </c>
      <c r="C7" s="9">
        <v>0</v>
      </c>
      <c r="D7" s="9">
        <v>0</v>
      </c>
      <c r="E7" s="9">
        <v>24774647</v>
      </c>
      <c r="F7" s="10">
        <f t="shared" si="0"/>
        <v>24774647</v>
      </c>
      <c r="G7" s="9"/>
      <c r="H7" s="9"/>
      <c r="I7" s="11">
        <v>1071</v>
      </c>
      <c r="J7" s="10">
        <v>24774647</v>
      </c>
      <c r="K7" s="10">
        <f t="shared" si="1"/>
        <v>0</v>
      </c>
    </row>
    <row r="8" spans="2:13" hidden="1" x14ac:dyDescent="0.25">
      <c r="B8" s="9">
        <v>1081</v>
      </c>
      <c r="C8" s="9">
        <v>0</v>
      </c>
      <c r="D8" s="9">
        <v>0</v>
      </c>
      <c r="E8" s="9">
        <v>962815914</v>
      </c>
      <c r="F8" s="10">
        <f t="shared" si="0"/>
        <v>962815914</v>
      </c>
      <c r="G8" s="9"/>
      <c r="H8" s="9"/>
      <c r="I8" s="11">
        <v>1081</v>
      </c>
      <c r="J8" s="10">
        <v>962815914</v>
      </c>
      <c r="K8" s="10">
        <f t="shared" si="1"/>
        <v>0</v>
      </c>
    </row>
    <row r="9" spans="2:13" hidden="1" x14ac:dyDescent="0.25">
      <c r="B9" s="9">
        <v>1091</v>
      </c>
      <c r="C9" s="9">
        <v>0</v>
      </c>
      <c r="D9" s="9">
        <v>16780000</v>
      </c>
      <c r="E9" s="9">
        <v>1845619199</v>
      </c>
      <c r="F9" s="10">
        <f t="shared" si="0"/>
        <v>1862399199</v>
      </c>
      <c r="G9" s="9"/>
      <c r="H9" s="9"/>
      <c r="I9" s="11">
        <v>1091</v>
      </c>
      <c r="J9" s="10">
        <v>1862399199</v>
      </c>
      <c r="K9" s="10">
        <f t="shared" si="1"/>
        <v>0</v>
      </c>
    </row>
    <row r="10" spans="2:13" hidden="1" x14ac:dyDescent="0.25">
      <c r="B10" s="9">
        <v>1101</v>
      </c>
      <c r="C10" s="9">
        <v>0</v>
      </c>
      <c r="D10" s="9">
        <v>0</v>
      </c>
      <c r="E10" s="9">
        <v>6066332</v>
      </c>
      <c r="F10" s="10">
        <f t="shared" si="0"/>
        <v>6066332</v>
      </c>
      <c r="G10" s="9"/>
      <c r="H10" s="9"/>
      <c r="I10" s="11">
        <v>1101</v>
      </c>
      <c r="J10" s="10">
        <v>6066332</v>
      </c>
      <c r="K10" s="10">
        <f t="shared" si="1"/>
        <v>0</v>
      </c>
    </row>
    <row r="11" spans="2:13" hidden="1" x14ac:dyDescent="0.25">
      <c r="B11" s="9">
        <v>1111</v>
      </c>
      <c r="C11" s="9">
        <v>0</v>
      </c>
      <c r="D11" s="9">
        <v>0</v>
      </c>
      <c r="E11" s="9">
        <v>1642325</v>
      </c>
      <c r="F11" s="10">
        <f t="shared" si="0"/>
        <v>1642325</v>
      </c>
      <c r="G11" s="9"/>
      <c r="H11" s="9"/>
      <c r="I11" s="11">
        <v>1111</v>
      </c>
      <c r="J11" s="10">
        <v>1642325</v>
      </c>
      <c r="K11" s="10">
        <f t="shared" si="1"/>
        <v>0</v>
      </c>
    </row>
    <row r="12" spans="2:13" x14ac:dyDescent="0.25">
      <c r="B12" s="9">
        <v>1191</v>
      </c>
      <c r="C12" s="9">
        <v>0</v>
      </c>
      <c r="D12" s="9">
        <v>0</v>
      </c>
      <c r="E12" s="9">
        <v>1151092095</v>
      </c>
      <c r="F12" s="10">
        <f t="shared" si="0"/>
        <v>1151092095</v>
      </c>
      <c r="G12" s="9"/>
      <c r="H12" s="9"/>
      <c r="I12" s="11">
        <v>1191</v>
      </c>
      <c r="J12" s="10">
        <v>1151107215</v>
      </c>
      <c r="K12" s="10">
        <f t="shared" si="1"/>
        <v>-15120</v>
      </c>
    </row>
    <row r="13" spans="2:13" hidden="1" x14ac:dyDescent="0.25">
      <c r="B13" s="9">
        <v>1221</v>
      </c>
      <c r="C13" s="9">
        <v>0</v>
      </c>
      <c r="D13" s="9">
        <v>0</v>
      </c>
      <c r="E13" s="9">
        <v>18946341</v>
      </c>
      <c r="F13" s="10">
        <f t="shared" si="0"/>
        <v>18946341</v>
      </c>
      <c r="G13" s="9"/>
      <c r="H13" s="9"/>
      <c r="I13" s="11">
        <v>1221</v>
      </c>
      <c r="J13" s="10">
        <v>18946341</v>
      </c>
      <c r="K13" s="10">
        <f t="shared" si="1"/>
        <v>0</v>
      </c>
    </row>
    <row r="14" spans="2:13" hidden="1" x14ac:dyDescent="0.25">
      <c r="B14" s="9">
        <v>1231</v>
      </c>
      <c r="C14" s="9">
        <v>0</v>
      </c>
      <c r="D14" s="9">
        <v>0</v>
      </c>
      <c r="E14" s="9">
        <v>24139990</v>
      </c>
      <c r="F14" s="10">
        <f t="shared" si="0"/>
        <v>24139990</v>
      </c>
      <c r="G14" s="9"/>
      <c r="H14" s="9"/>
      <c r="I14" s="11">
        <v>1231</v>
      </c>
      <c r="J14" s="10">
        <v>24139990</v>
      </c>
      <c r="K14" s="10">
        <f t="shared" si="1"/>
        <v>0</v>
      </c>
    </row>
    <row r="15" spans="2:13" x14ac:dyDescent="0.25">
      <c r="B15" s="9">
        <v>1251</v>
      </c>
      <c r="C15" s="9">
        <v>0</v>
      </c>
      <c r="D15" s="9">
        <v>29894248</v>
      </c>
      <c r="E15" s="9">
        <v>9990416644</v>
      </c>
      <c r="F15" s="10">
        <f t="shared" si="0"/>
        <v>10020310892</v>
      </c>
      <c r="G15" s="9"/>
      <c r="H15" s="9"/>
      <c r="I15" s="11">
        <v>1251</v>
      </c>
      <c r="J15" s="10">
        <v>10036648392</v>
      </c>
      <c r="K15" s="10">
        <f t="shared" si="1"/>
        <v>-16337500</v>
      </c>
    </row>
    <row r="16" spans="2:13" hidden="1" x14ac:dyDescent="0.25">
      <c r="B16" s="9">
        <v>1261</v>
      </c>
      <c r="C16" s="9">
        <v>0</v>
      </c>
      <c r="D16" s="9">
        <v>813020000</v>
      </c>
      <c r="E16" s="9">
        <v>9253032039</v>
      </c>
      <c r="F16" s="10">
        <f t="shared" si="0"/>
        <v>10066052039</v>
      </c>
      <c r="G16" s="9"/>
      <c r="H16" s="9"/>
      <c r="I16" s="11">
        <v>1261</v>
      </c>
      <c r="J16" s="10">
        <v>10066052039</v>
      </c>
      <c r="K16" s="10">
        <f t="shared" si="1"/>
        <v>0</v>
      </c>
    </row>
    <row r="17" spans="2:11" hidden="1" x14ac:dyDescent="0.25">
      <c r="B17" s="9">
        <v>1271</v>
      </c>
      <c r="C17" s="9">
        <v>0</v>
      </c>
      <c r="D17" s="9">
        <v>1013500</v>
      </c>
      <c r="E17" s="9">
        <v>55197175</v>
      </c>
      <c r="F17" s="10">
        <f t="shared" si="0"/>
        <v>56210675</v>
      </c>
      <c r="G17" s="9"/>
      <c r="H17" s="9"/>
      <c r="I17" s="11">
        <v>1271</v>
      </c>
      <c r="J17" s="10">
        <v>56210675</v>
      </c>
      <c r="K17" s="10">
        <f t="shared" si="1"/>
        <v>0</v>
      </c>
    </row>
    <row r="18" spans="2:11" hidden="1" x14ac:dyDescent="0.25">
      <c r="B18" s="9">
        <v>1301</v>
      </c>
      <c r="C18" s="9">
        <v>0</v>
      </c>
      <c r="D18" s="9">
        <v>5745703</v>
      </c>
      <c r="E18" s="9">
        <v>163685022</v>
      </c>
      <c r="F18" s="10">
        <f t="shared" si="0"/>
        <v>169430725</v>
      </c>
      <c r="G18" s="9"/>
      <c r="H18" s="9"/>
      <c r="I18" s="11">
        <v>1301</v>
      </c>
      <c r="J18" s="10">
        <v>169430725</v>
      </c>
      <c r="K18" s="10">
        <f t="shared" si="1"/>
        <v>0</v>
      </c>
    </row>
    <row r="19" spans="2:11" x14ac:dyDescent="0.25">
      <c r="B19" s="9">
        <v>1371</v>
      </c>
      <c r="C19" s="9">
        <v>0</v>
      </c>
      <c r="D19" s="9">
        <v>750000</v>
      </c>
      <c r="E19" s="9">
        <v>125177898</v>
      </c>
      <c r="F19" s="10">
        <f t="shared" si="0"/>
        <v>125927898</v>
      </c>
      <c r="G19" s="9"/>
      <c r="H19" s="9"/>
      <c r="I19" s="11">
        <v>1371</v>
      </c>
      <c r="J19" s="10">
        <v>130927898</v>
      </c>
      <c r="K19" s="10">
        <f t="shared" si="1"/>
        <v>-5000000</v>
      </c>
    </row>
    <row r="20" spans="2:11" x14ac:dyDescent="0.25">
      <c r="B20" s="9">
        <v>1401</v>
      </c>
      <c r="C20" s="9">
        <v>0</v>
      </c>
      <c r="D20" s="9">
        <v>9045749</v>
      </c>
      <c r="E20" s="9">
        <v>1056264154</v>
      </c>
      <c r="F20" s="10">
        <f t="shared" si="0"/>
        <v>1065309903</v>
      </c>
      <c r="G20" s="9"/>
      <c r="H20" s="9"/>
      <c r="I20" s="11">
        <v>1401</v>
      </c>
      <c r="J20" s="10">
        <v>1065339903</v>
      </c>
      <c r="K20" s="10">
        <f t="shared" si="1"/>
        <v>-30000</v>
      </c>
    </row>
    <row r="21" spans="2:11" hidden="1" x14ac:dyDescent="0.25">
      <c r="B21" s="9">
        <v>1411</v>
      </c>
      <c r="C21" s="9">
        <v>0</v>
      </c>
      <c r="D21" s="9">
        <v>0</v>
      </c>
      <c r="E21" s="9">
        <v>11687745</v>
      </c>
      <c r="F21" s="10">
        <f t="shared" si="0"/>
        <v>11687745</v>
      </c>
      <c r="G21" s="9"/>
      <c r="H21" s="9"/>
      <c r="I21" s="11">
        <v>1411</v>
      </c>
      <c r="J21" s="10">
        <v>11687745</v>
      </c>
      <c r="K21" s="10">
        <f t="shared" si="1"/>
        <v>0</v>
      </c>
    </row>
    <row r="22" spans="2:11" hidden="1" x14ac:dyDescent="0.25">
      <c r="B22" s="9">
        <v>1441</v>
      </c>
      <c r="C22" s="9">
        <v>0</v>
      </c>
      <c r="D22" s="9">
        <v>3370000</v>
      </c>
      <c r="E22" s="9">
        <v>409156860</v>
      </c>
      <c r="F22" s="10">
        <f t="shared" si="0"/>
        <v>412526860</v>
      </c>
      <c r="G22" s="9"/>
      <c r="H22" s="9"/>
      <c r="I22" s="9">
        <v>1441</v>
      </c>
      <c r="J22" s="9">
        <v>412526860</v>
      </c>
      <c r="K22" s="10">
        <f t="shared" si="1"/>
        <v>0</v>
      </c>
    </row>
    <row r="23" spans="2:11" x14ac:dyDescent="0.25">
      <c r="B23" s="6">
        <v>1451</v>
      </c>
      <c r="C23" s="6">
        <v>0</v>
      </c>
      <c r="D23" s="6">
        <v>97939177</v>
      </c>
      <c r="E23" s="6">
        <v>2060086882</v>
      </c>
      <c r="F23" s="7">
        <f t="shared" si="0"/>
        <v>2158026059</v>
      </c>
      <c r="G23" s="6"/>
      <c r="H23" s="6"/>
      <c r="I23" s="8">
        <v>1451</v>
      </c>
      <c r="J23" s="7">
        <v>2158025059</v>
      </c>
      <c r="K23" s="7">
        <f t="shared" si="1"/>
        <v>1000</v>
      </c>
    </row>
    <row r="24" spans="2:11" hidden="1" x14ac:dyDescent="0.25">
      <c r="B24" s="9">
        <v>1461</v>
      </c>
      <c r="C24" s="9">
        <v>0</v>
      </c>
      <c r="D24" s="9">
        <v>0</v>
      </c>
      <c r="E24" s="9">
        <v>11693806</v>
      </c>
      <c r="F24" s="10">
        <f t="shared" si="0"/>
        <v>11693806</v>
      </c>
      <c r="G24" s="9"/>
      <c r="H24" s="9"/>
      <c r="I24" s="11">
        <v>1461</v>
      </c>
      <c r="J24" s="10">
        <v>11693806</v>
      </c>
      <c r="K24" s="10">
        <f t="shared" si="1"/>
        <v>0</v>
      </c>
    </row>
    <row r="25" spans="2:11" hidden="1" x14ac:dyDescent="0.25">
      <c r="B25" s="9">
        <v>1471</v>
      </c>
      <c r="C25" s="9">
        <v>0</v>
      </c>
      <c r="D25" s="9">
        <v>39165542</v>
      </c>
      <c r="E25" s="9">
        <v>33614902</v>
      </c>
      <c r="F25" s="10">
        <f t="shared" si="0"/>
        <v>72780444</v>
      </c>
      <c r="G25" s="9"/>
      <c r="H25" s="9"/>
      <c r="I25" s="11">
        <v>1471</v>
      </c>
      <c r="J25" s="10">
        <v>72780444</v>
      </c>
      <c r="K25" s="10">
        <f t="shared" si="1"/>
        <v>0</v>
      </c>
    </row>
    <row r="26" spans="2:11" hidden="1" x14ac:dyDescent="0.25">
      <c r="B26" s="9">
        <v>1481</v>
      </c>
      <c r="C26" s="9">
        <v>0</v>
      </c>
      <c r="D26" s="9">
        <v>15938193</v>
      </c>
      <c r="E26" s="9">
        <v>60684586</v>
      </c>
      <c r="F26" s="10">
        <f t="shared" si="0"/>
        <v>76622779</v>
      </c>
      <c r="G26" s="9"/>
      <c r="H26" s="9"/>
      <c r="I26" s="11">
        <v>1481</v>
      </c>
      <c r="J26" s="10">
        <v>76622779</v>
      </c>
      <c r="K26" s="10">
        <f t="shared" si="1"/>
        <v>0</v>
      </c>
    </row>
    <row r="27" spans="2:11" hidden="1" x14ac:dyDescent="0.25">
      <c r="B27" s="9">
        <v>1491</v>
      </c>
      <c r="C27" s="9">
        <v>0</v>
      </c>
      <c r="D27" s="9">
        <v>0</v>
      </c>
      <c r="E27" s="9">
        <v>236082353</v>
      </c>
      <c r="F27" s="10">
        <f t="shared" si="0"/>
        <v>236082353</v>
      </c>
      <c r="G27" s="9"/>
      <c r="H27" s="9"/>
      <c r="I27" s="11">
        <v>1491</v>
      </c>
      <c r="J27" s="10">
        <v>236082353</v>
      </c>
      <c r="K27" s="10">
        <f t="shared" si="1"/>
        <v>0</v>
      </c>
    </row>
    <row r="28" spans="2:11" x14ac:dyDescent="0.25">
      <c r="B28" s="9">
        <v>1501</v>
      </c>
      <c r="C28" s="9">
        <v>0</v>
      </c>
      <c r="D28" s="9">
        <v>0</v>
      </c>
      <c r="E28" s="9">
        <v>242449048</v>
      </c>
      <c r="F28" s="10">
        <f t="shared" si="0"/>
        <v>242449048</v>
      </c>
      <c r="G28" s="9"/>
      <c r="H28" s="9"/>
      <c r="I28" s="11">
        <v>1501</v>
      </c>
      <c r="J28" s="10">
        <v>245317441</v>
      </c>
      <c r="K28" s="10">
        <f t="shared" si="1"/>
        <v>-2868393</v>
      </c>
    </row>
    <row r="29" spans="2:11" hidden="1" x14ac:dyDescent="0.25">
      <c r="B29" s="9">
        <v>1511</v>
      </c>
      <c r="C29" s="9">
        <v>38052673</v>
      </c>
      <c r="D29" s="9">
        <v>52250000</v>
      </c>
      <c r="E29" s="9">
        <v>1800821676</v>
      </c>
      <c r="F29" s="10">
        <f t="shared" si="0"/>
        <v>1815019003</v>
      </c>
      <c r="G29" s="9"/>
      <c r="H29" s="9"/>
      <c r="I29" s="11">
        <v>1511</v>
      </c>
      <c r="J29" s="10">
        <v>1815019003</v>
      </c>
      <c r="K29" s="10">
        <f t="shared" si="1"/>
        <v>0</v>
      </c>
    </row>
    <row r="30" spans="2:11" hidden="1" x14ac:dyDescent="0.25">
      <c r="B30" s="9">
        <v>1521</v>
      </c>
      <c r="C30" s="9">
        <v>0</v>
      </c>
      <c r="D30" s="9">
        <v>0</v>
      </c>
      <c r="E30" s="9">
        <v>29323980</v>
      </c>
      <c r="F30" s="10">
        <f t="shared" si="0"/>
        <v>29323980</v>
      </c>
      <c r="G30" s="9"/>
      <c r="H30" s="9"/>
      <c r="I30" s="11">
        <v>1521</v>
      </c>
      <c r="J30" s="10">
        <v>29323980</v>
      </c>
      <c r="K30" s="10">
        <f t="shared" si="1"/>
        <v>0</v>
      </c>
    </row>
    <row r="31" spans="2:11" hidden="1" x14ac:dyDescent="0.25">
      <c r="B31" s="9">
        <v>1541</v>
      </c>
      <c r="C31" s="9">
        <v>0</v>
      </c>
      <c r="D31" s="9">
        <v>51497191</v>
      </c>
      <c r="E31" s="9">
        <v>0</v>
      </c>
      <c r="F31" s="10">
        <f t="shared" si="0"/>
        <v>51497191</v>
      </c>
      <c r="G31" s="9"/>
      <c r="H31" s="9"/>
      <c r="I31" s="11">
        <v>1541</v>
      </c>
      <c r="J31" s="10">
        <v>51497191</v>
      </c>
      <c r="K31" s="10">
        <f t="shared" si="1"/>
        <v>0</v>
      </c>
    </row>
    <row r="32" spans="2:11" x14ac:dyDescent="0.25">
      <c r="B32" s="9">
        <v>1551</v>
      </c>
      <c r="C32" s="9">
        <v>0</v>
      </c>
      <c r="D32" s="9">
        <v>0</v>
      </c>
      <c r="E32" s="9">
        <v>99524919</v>
      </c>
      <c r="F32" s="10">
        <f t="shared" si="0"/>
        <v>99524919</v>
      </c>
      <c r="G32" s="9"/>
      <c r="H32" s="9"/>
      <c r="I32" s="11">
        <v>1551</v>
      </c>
      <c r="J32" s="10">
        <v>136974919</v>
      </c>
      <c r="K32" s="10">
        <f t="shared" si="1"/>
        <v>-37450000</v>
      </c>
    </row>
    <row r="33" spans="2:11" hidden="1" x14ac:dyDescent="0.25">
      <c r="B33" s="9">
        <v>1571</v>
      </c>
      <c r="C33" s="9">
        <v>0</v>
      </c>
      <c r="D33" s="9">
        <v>0</v>
      </c>
      <c r="E33" s="9">
        <v>12781378</v>
      </c>
      <c r="F33" s="10">
        <f t="shared" si="0"/>
        <v>12781378</v>
      </c>
      <c r="G33" s="9"/>
      <c r="H33" s="9"/>
      <c r="I33" s="11">
        <v>1571</v>
      </c>
      <c r="J33" s="10">
        <v>12781378</v>
      </c>
      <c r="K33" s="10">
        <f t="shared" si="1"/>
        <v>0</v>
      </c>
    </row>
    <row r="34" spans="2:11" hidden="1" x14ac:dyDescent="0.25">
      <c r="B34" s="9">
        <v>1591</v>
      </c>
      <c r="C34" s="9">
        <v>0</v>
      </c>
      <c r="D34" s="9">
        <v>126800000</v>
      </c>
      <c r="E34" s="9">
        <v>3136136</v>
      </c>
      <c r="F34" s="10">
        <f t="shared" si="0"/>
        <v>129936136</v>
      </c>
      <c r="G34" s="9"/>
      <c r="H34" s="9"/>
      <c r="I34" s="11">
        <v>1591</v>
      </c>
      <c r="J34" s="10">
        <v>129936136</v>
      </c>
      <c r="K34" s="10">
        <f t="shared" si="1"/>
        <v>0</v>
      </c>
    </row>
    <row r="35" spans="2:11" hidden="1" x14ac:dyDescent="0.25">
      <c r="B35" s="9">
        <v>1631</v>
      </c>
      <c r="C35" s="9">
        <v>0</v>
      </c>
      <c r="D35" s="9">
        <v>0</v>
      </c>
      <c r="E35" s="9">
        <v>30339041</v>
      </c>
      <c r="F35" s="10">
        <f t="shared" si="0"/>
        <v>30339041</v>
      </c>
      <c r="G35" s="9"/>
      <c r="H35" s="9"/>
      <c r="I35" s="11">
        <v>1631</v>
      </c>
      <c r="J35" s="10">
        <v>30339041</v>
      </c>
      <c r="K35" s="10">
        <f t="shared" si="1"/>
        <v>0</v>
      </c>
    </row>
    <row r="36" spans="2:11" hidden="1" x14ac:dyDescent="0.25">
      <c r="B36" s="9">
        <v>1641</v>
      </c>
      <c r="C36" s="9">
        <v>0</v>
      </c>
      <c r="D36" s="9">
        <v>303000</v>
      </c>
      <c r="E36" s="9">
        <v>21419484</v>
      </c>
      <c r="F36" s="10">
        <f t="shared" si="0"/>
        <v>21722484</v>
      </c>
      <c r="G36" s="9"/>
      <c r="H36" s="9"/>
      <c r="I36" s="11">
        <v>1641</v>
      </c>
      <c r="J36" s="10">
        <v>21722484</v>
      </c>
      <c r="K36" s="10">
        <f t="shared" si="1"/>
        <v>0</v>
      </c>
    </row>
    <row r="37" spans="2:11" x14ac:dyDescent="0.25">
      <c r="B37" s="9">
        <v>1651</v>
      </c>
      <c r="C37" s="9">
        <v>0</v>
      </c>
      <c r="D37" s="9">
        <v>3301359</v>
      </c>
      <c r="E37" s="9">
        <v>23538617</v>
      </c>
      <c r="F37" s="10">
        <f t="shared" si="0"/>
        <v>26839976</v>
      </c>
      <c r="G37" s="9"/>
      <c r="H37" s="9"/>
      <c r="I37" s="11">
        <v>1651</v>
      </c>
      <c r="J37" s="10">
        <v>29464976</v>
      </c>
      <c r="K37" s="10">
        <f t="shared" si="1"/>
        <v>-2625000</v>
      </c>
    </row>
    <row r="38" spans="2:11" x14ac:dyDescent="0.25">
      <c r="B38" s="9">
        <v>1661</v>
      </c>
      <c r="C38" s="9">
        <v>0</v>
      </c>
      <c r="D38" s="9">
        <v>0</v>
      </c>
      <c r="E38" s="9">
        <v>139097159</v>
      </c>
      <c r="F38" s="10">
        <f t="shared" si="0"/>
        <v>139097159</v>
      </c>
      <c r="G38" s="9"/>
      <c r="H38" s="9"/>
      <c r="I38" s="11">
        <v>1661</v>
      </c>
      <c r="J38" s="10">
        <v>147246894</v>
      </c>
      <c r="K38" s="10">
        <f t="shared" si="1"/>
        <v>-8149735</v>
      </c>
    </row>
    <row r="39" spans="2:11" hidden="1" x14ac:dyDescent="0.25">
      <c r="B39" s="9">
        <v>1671</v>
      </c>
      <c r="C39" s="9">
        <v>0</v>
      </c>
      <c r="D39" s="9">
        <v>19800000</v>
      </c>
      <c r="E39" s="9">
        <v>25801127</v>
      </c>
      <c r="F39" s="10">
        <f t="shared" si="0"/>
        <v>45601127</v>
      </c>
      <c r="G39" s="9"/>
      <c r="H39" s="9"/>
      <c r="I39" s="11">
        <v>1671</v>
      </c>
      <c r="J39" s="10">
        <v>45601127</v>
      </c>
      <c r="K39" s="10">
        <f t="shared" si="1"/>
        <v>0</v>
      </c>
    </row>
    <row r="40" spans="2:11" x14ac:dyDescent="0.25">
      <c r="B40" s="9">
        <v>1911</v>
      </c>
      <c r="C40" s="9">
        <v>0</v>
      </c>
      <c r="D40" s="9">
        <v>0</v>
      </c>
      <c r="E40" s="9">
        <v>20790660571</v>
      </c>
      <c r="F40" s="10">
        <f t="shared" si="0"/>
        <v>20790660571</v>
      </c>
      <c r="G40" s="9"/>
      <c r="H40" s="9"/>
      <c r="I40" s="11">
        <v>1911</v>
      </c>
      <c r="J40" s="10">
        <v>20791175571</v>
      </c>
      <c r="K40" s="10">
        <f t="shared" si="1"/>
        <v>-515000</v>
      </c>
    </row>
    <row r="41" spans="2:11" x14ac:dyDescent="0.25">
      <c r="B41" s="9">
        <v>1915</v>
      </c>
      <c r="C41" s="9">
        <v>0</v>
      </c>
      <c r="D41" s="9">
        <v>0</v>
      </c>
      <c r="E41" s="9">
        <v>9000</v>
      </c>
      <c r="F41" s="10">
        <f t="shared" si="0"/>
        <v>9000</v>
      </c>
      <c r="G41" s="9"/>
      <c r="H41" s="9"/>
      <c r="I41" s="11">
        <v>1915</v>
      </c>
      <c r="J41" s="10">
        <v>97000</v>
      </c>
      <c r="K41" s="10">
        <f t="shared" si="1"/>
        <v>-88000</v>
      </c>
    </row>
    <row r="42" spans="2:11" hidden="1" x14ac:dyDescent="0.25">
      <c r="B42" s="9">
        <v>1916</v>
      </c>
      <c r="C42" s="9">
        <v>0</v>
      </c>
      <c r="D42" s="9">
        <v>0</v>
      </c>
      <c r="E42" s="9">
        <v>6908641231</v>
      </c>
      <c r="F42" s="10">
        <f t="shared" si="0"/>
        <v>6908641231</v>
      </c>
      <c r="G42" s="9"/>
      <c r="H42" s="9"/>
      <c r="I42" s="11">
        <v>1916</v>
      </c>
      <c r="J42" s="10">
        <v>6908641231</v>
      </c>
      <c r="K42" s="10">
        <f t="shared" si="1"/>
        <v>0</v>
      </c>
    </row>
    <row r="43" spans="2:11" hidden="1" x14ac:dyDescent="0.25">
      <c r="B43" s="9">
        <v>1941</v>
      </c>
      <c r="C43" s="9">
        <v>0</v>
      </c>
      <c r="D43" s="9">
        <v>0</v>
      </c>
      <c r="E43" s="9">
        <v>368660963</v>
      </c>
      <c r="F43" s="10">
        <f t="shared" si="0"/>
        <v>368660963</v>
      </c>
      <c r="G43" s="9"/>
      <c r="H43" s="9"/>
      <c r="I43" s="11">
        <v>1941</v>
      </c>
      <c r="J43" s="10">
        <v>368660963</v>
      </c>
      <c r="K43" s="10">
        <f t="shared" si="1"/>
        <v>0</v>
      </c>
    </row>
    <row r="44" spans="2:11" hidden="1" x14ac:dyDescent="0.25">
      <c r="B44" s="9">
        <v>1991</v>
      </c>
      <c r="C44" s="9">
        <v>0</v>
      </c>
      <c r="D44" s="9">
        <v>0</v>
      </c>
      <c r="E44" s="9">
        <v>512459837</v>
      </c>
      <c r="F44" s="10">
        <f t="shared" si="0"/>
        <v>512459837</v>
      </c>
      <c r="G44" s="9"/>
      <c r="H44" s="9"/>
      <c r="I44" s="11">
        <v>1991</v>
      </c>
      <c r="J44" s="10">
        <v>512459837</v>
      </c>
      <c r="K44" s="10">
        <f t="shared" si="1"/>
        <v>0</v>
      </c>
    </row>
    <row r="45" spans="2:11" hidden="1" x14ac:dyDescent="0.25">
      <c r="B45" s="9">
        <v>2011</v>
      </c>
      <c r="C45" s="9">
        <v>6179791</v>
      </c>
      <c r="D45" s="9">
        <v>974596496</v>
      </c>
      <c r="E45" s="9">
        <v>0</v>
      </c>
      <c r="F45" s="10">
        <f t="shared" si="0"/>
        <v>968416705</v>
      </c>
      <c r="G45" s="9"/>
      <c r="H45" s="9"/>
      <c r="I45" s="11">
        <v>2011</v>
      </c>
      <c r="J45" s="10">
        <v>968416705</v>
      </c>
      <c r="K45" s="10">
        <f t="shared" si="1"/>
        <v>0</v>
      </c>
    </row>
    <row r="46" spans="2:11" hidden="1" x14ac:dyDescent="0.25">
      <c r="B46" s="9">
        <v>2041</v>
      </c>
      <c r="C46" s="9">
        <v>3015107</v>
      </c>
      <c r="D46" s="9">
        <v>29300000</v>
      </c>
      <c r="E46" s="9">
        <v>0</v>
      </c>
      <c r="F46" s="10">
        <f t="shared" si="0"/>
        <v>26284893</v>
      </c>
      <c r="G46" s="9"/>
      <c r="H46" s="9"/>
      <c r="I46" s="11">
        <v>2041</v>
      </c>
      <c r="J46" s="10">
        <v>26284893</v>
      </c>
      <c r="K46" s="10">
        <f t="shared" si="1"/>
        <v>0</v>
      </c>
    </row>
    <row r="47" spans="2:11" hidden="1" x14ac:dyDescent="0.25">
      <c r="B47" s="9">
        <v>2061</v>
      </c>
      <c r="C47" s="9">
        <v>0</v>
      </c>
      <c r="D47" s="9">
        <v>8013435</v>
      </c>
      <c r="E47" s="9">
        <v>32454590</v>
      </c>
      <c r="F47" s="10">
        <f t="shared" si="0"/>
        <v>40468025</v>
      </c>
      <c r="G47" s="9"/>
      <c r="H47" s="9"/>
      <c r="I47" s="11">
        <v>2061</v>
      </c>
      <c r="J47" s="10">
        <v>40468025</v>
      </c>
      <c r="K47" s="10">
        <f t="shared" si="1"/>
        <v>0</v>
      </c>
    </row>
    <row r="48" spans="2:11" hidden="1" x14ac:dyDescent="0.25">
      <c r="B48" s="9">
        <v>2071</v>
      </c>
      <c r="C48" s="9">
        <v>0</v>
      </c>
      <c r="D48" s="9">
        <v>41759841</v>
      </c>
      <c r="E48" s="9">
        <v>355451549</v>
      </c>
      <c r="F48" s="10">
        <f t="shared" si="0"/>
        <v>397211390</v>
      </c>
      <c r="G48" s="9"/>
      <c r="H48" s="9"/>
      <c r="I48" s="11">
        <v>2071</v>
      </c>
      <c r="J48" s="10">
        <v>397211390</v>
      </c>
      <c r="K48" s="10">
        <f t="shared" si="1"/>
        <v>0</v>
      </c>
    </row>
    <row r="49" spans="2:11" hidden="1" x14ac:dyDescent="0.25">
      <c r="B49" s="9">
        <v>2091</v>
      </c>
      <c r="C49" s="9">
        <v>10089000</v>
      </c>
      <c r="D49" s="9">
        <v>44975000</v>
      </c>
      <c r="E49" s="9">
        <v>2200000</v>
      </c>
      <c r="F49" s="10">
        <f t="shared" si="0"/>
        <v>37086000</v>
      </c>
      <c r="G49" s="9"/>
      <c r="H49" s="9"/>
      <c r="I49" s="11">
        <v>2091</v>
      </c>
      <c r="J49" s="10">
        <v>37086000</v>
      </c>
      <c r="K49" s="10">
        <f t="shared" si="1"/>
        <v>0</v>
      </c>
    </row>
    <row r="50" spans="2:11" hidden="1" x14ac:dyDescent="0.25">
      <c r="B50" s="9">
        <v>2101</v>
      </c>
      <c r="C50" s="9">
        <v>600000</v>
      </c>
      <c r="D50" s="9">
        <v>134000000</v>
      </c>
      <c r="E50" s="9">
        <v>6850000</v>
      </c>
      <c r="F50" s="10">
        <f t="shared" si="0"/>
        <v>140250000</v>
      </c>
      <c r="G50" s="9"/>
      <c r="H50" s="9"/>
      <c r="I50" s="11">
        <v>2101</v>
      </c>
      <c r="J50" s="10">
        <v>140250000</v>
      </c>
      <c r="K50" s="10">
        <f t="shared" si="1"/>
        <v>0</v>
      </c>
    </row>
    <row r="51" spans="2:11" hidden="1" x14ac:dyDescent="0.25">
      <c r="B51" s="9">
        <v>2111</v>
      </c>
      <c r="C51" s="9">
        <v>0</v>
      </c>
      <c r="D51" s="9">
        <v>45984896</v>
      </c>
      <c r="E51" s="9">
        <v>6942783</v>
      </c>
      <c r="F51" s="10">
        <f t="shared" si="0"/>
        <v>52927679</v>
      </c>
      <c r="G51" s="9"/>
      <c r="H51" s="9"/>
      <c r="I51" s="11">
        <v>2111</v>
      </c>
      <c r="J51" s="10">
        <v>52927679</v>
      </c>
      <c r="K51" s="10">
        <f t="shared" si="1"/>
        <v>0</v>
      </c>
    </row>
    <row r="52" spans="2:11" hidden="1" x14ac:dyDescent="0.25">
      <c r="B52" s="9">
        <v>2121</v>
      </c>
      <c r="C52" s="9">
        <v>425980</v>
      </c>
      <c r="D52" s="9">
        <v>2157619691</v>
      </c>
      <c r="E52" s="9">
        <v>0</v>
      </c>
      <c r="F52" s="10">
        <f t="shared" si="0"/>
        <v>2157193711</v>
      </c>
      <c r="G52" s="9"/>
      <c r="H52" s="9"/>
      <c r="I52" s="11">
        <v>2121</v>
      </c>
      <c r="J52" s="10">
        <v>2157193711</v>
      </c>
      <c r="K52" s="10">
        <f t="shared" si="1"/>
        <v>0</v>
      </c>
    </row>
    <row r="53" spans="2:11" hidden="1" x14ac:dyDescent="0.25">
      <c r="B53" s="9">
        <v>2141</v>
      </c>
      <c r="C53" s="9">
        <v>0</v>
      </c>
      <c r="D53" s="9">
        <v>84251297</v>
      </c>
      <c r="E53" s="9">
        <v>90148885</v>
      </c>
      <c r="F53" s="10">
        <f t="shared" si="0"/>
        <v>174400182</v>
      </c>
      <c r="G53" s="9"/>
      <c r="H53" s="9"/>
      <c r="I53" s="11">
        <v>2141</v>
      </c>
      <c r="J53" s="10">
        <v>174400182</v>
      </c>
      <c r="K53" s="10">
        <f t="shared" si="1"/>
        <v>0</v>
      </c>
    </row>
    <row r="54" spans="2:11" hidden="1" x14ac:dyDescent="0.25">
      <c r="B54" s="9">
        <v>2151</v>
      </c>
      <c r="C54" s="9">
        <v>0</v>
      </c>
      <c r="D54" s="9">
        <v>358200</v>
      </c>
      <c r="E54" s="9">
        <v>9810503</v>
      </c>
      <c r="F54" s="10">
        <f t="shared" si="0"/>
        <v>10168703</v>
      </c>
      <c r="G54" s="9"/>
      <c r="H54" s="9"/>
      <c r="I54" s="11">
        <v>2151</v>
      </c>
      <c r="J54" s="10">
        <v>10168703</v>
      </c>
      <c r="K54" s="10">
        <f t="shared" si="1"/>
        <v>0</v>
      </c>
    </row>
    <row r="55" spans="2:11" hidden="1" x14ac:dyDescent="0.25">
      <c r="B55" s="9">
        <v>2161</v>
      </c>
      <c r="C55" s="9">
        <v>0</v>
      </c>
      <c r="D55" s="9">
        <v>208500</v>
      </c>
      <c r="E55" s="9">
        <v>4927951</v>
      </c>
      <c r="F55" s="10">
        <f t="shared" si="0"/>
        <v>5136451</v>
      </c>
      <c r="G55" s="9"/>
      <c r="H55" s="9"/>
      <c r="I55" s="11">
        <v>2161</v>
      </c>
      <c r="J55" s="10">
        <v>5136451</v>
      </c>
      <c r="K55" s="10">
        <f t="shared" si="1"/>
        <v>0</v>
      </c>
    </row>
    <row r="56" spans="2:11" hidden="1" x14ac:dyDescent="0.25">
      <c r="B56" s="9">
        <v>2171</v>
      </c>
      <c r="C56" s="9">
        <v>0</v>
      </c>
      <c r="D56" s="9">
        <v>803785</v>
      </c>
      <c r="E56" s="9">
        <v>3226580</v>
      </c>
      <c r="F56" s="10">
        <f t="shared" si="0"/>
        <v>4030365</v>
      </c>
      <c r="G56" s="9"/>
      <c r="H56" s="9"/>
      <c r="I56" s="11">
        <v>2171</v>
      </c>
      <c r="J56" s="10">
        <v>4030365</v>
      </c>
      <c r="K56" s="10">
        <f t="shared" si="1"/>
        <v>0</v>
      </c>
    </row>
    <row r="57" spans="2:11" hidden="1" x14ac:dyDescent="0.25">
      <c r="B57" s="9">
        <v>2181</v>
      </c>
      <c r="C57" s="9">
        <v>0</v>
      </c>
      <c r="D57" s="9">
        <v>3790000</v>
      </c>
      <c r="E57" s="9">
        <v>38809459</v>
      </c>
      <c r="F57" s="10">
        <f t="shared" si="0"/>
        <v>42599459</v>
      </c>
      <c r="G57" s="9"/>
      <c r="H57" s="9"/>
      <c r="I57" s="11">
        <v>2181</v>
      </c>
      <c r="J57" s="10">
        <v>42599459</v>
      </c>
      <c r="K57" s="10">
        <f t="shared" si="1"/>
        <v>0</v>
      </c>
    </row>
    <row r="58" spans="2:11" hidden="1" x14ac:dyDescent="0.25">
      <c r="B58" s="9">
        <v>2201</v>
      </c>
      <c r="C58" s="9">
        <v>0</v>
      </c>
      <c r="D58" s="9">
        <v>233972</v>
      </c>
      <c r="E58" s="9">
        <v>15489954</v>
      </c>
      <c r="F58" s="10">
        <f t="shared" si="0"/>
        <v>15723926</v>
      </c>
      <c r="G58" s="9"/>
      <c r="H58" s="9"/>
      <c r="I58" s="11">
        <v>2201</v>
      </c>
      <c r="J58" s="10">
        <v>15723926</v>
      </c>
      <c r="K58" s="10">
        <f t="shared" si="1"/>
        <v>0</v>
      </c>
    </row>
    <row r="59" spans="2:11" hidden="1" x14ac:dyDescent="0.25">
      <c r="B59" s="9">
        <v>2211</v>
      </c>
      <c r="C59" s="9">
        <v>0</v>
      </c>
      <c r="D59" s="9">
        <v>1000000</v>
      </c>
      <c r="E59" s="9">
        <v>28597587</v>
      </c>
      <c r="F59" s="10">
        <f t="shared" si="0"/>
        <v>29597587</v>
      </c>
      <c r="G59" s="9"/>
      <c r="H59" s="9"/>
      <c r="I59" s="11">
        <v>2211</v>
      </c>
      <c r="J59" s="10">
        <v>29597587</v>
      </c>
      <c r="K59" s="10">
        <f t="shared" si="1"/>
        <v>0</v>
      </c>
    </row>
    <row r="60" spans="2:11" hidden="1" x14ac:dyDescent="0.25">
      <c r="B60" s="9">
        <v>2241</v>
      </c>
      <c r="C60" s="9">
        <v>0</v>
      </c>
      <c r="D60" s="9">
        <v>56763333</v>
      </c>
      <c r="E60" s="9">
        <v>10791478</v>
      </c>
      <c r="F60" s="10">
        <f t="shared" si="0"/>
        <v>67554811</v>
      </c>
      <c r="G60" s="9"/>
      <c r="H60" s="9"/>
      <c r="I60" s="11">
        <v>2241</v>
      </c>
      <c r="J60" s="10">
        <v>67554811</v>
      </c>
      <c r="K60" s="10">
        <f t="shared" si="1"/>
        <v>0</v>
      </c>
    </row>
    <row r="61" spans="2:11" hidden="1" x14ac:dyDescent="0.25">
      <c r="B61" s="9">
        <v>2251</v>
      </c>
      <c r="C61" s="9">
        <v>0</v>
      </c>
      <c r="D61" s="9">
        <v>48556774</v>
      </c>
      <c r="E61" s="9">
        <v>0</v>
      </c>
      <c r="F61" s="10">
        <f t="shared" si="0"/>
        <v>48556774</v>
      </c>
      <c r="G61" s="9"/>
      <c r="H61" s="9"/>
      <c r="I61" s="11">
        <v>2251</v>
      </c>
      <c r="J61" s="10">
        <v>48556774</v>
      </c>
      <c r="K61" s="10">
        <f t="shared" si="1"/>
        <v>0</v>
      </c>
    </row>
    <row r="62" spans="2:11" x14ac:dyDescent="0.25">
      <c r="B62" s="6">
        <v>2261</v>
      </c>
      <c r="C62" s="6">
        <v>0</v>
      </c>
      <c r="D62" s="6">
        <v>889873461</v>
      </c>
      <c r="E62" s="6">
        <v>100000</v>
      </c>
      <c r="F62" s="7">
        <f t="shared" si="0"/>
        <v>889973461</v>
      </c>
      <c r="G62" s="6"/>
      <c r="H62" s="6"/>
      <c r="I62" s="8">
        <v>2261</v>
      </c>
      <c r="J62" s="7">
        <v>889873461</v>
      </c>
      <c r="K62" s="7">
        <f t="shared" si="1"/>
        <v>100000</v>
      </c>
    </row>
    <row r="63" spans="2:11" hidden="1" x14ac:dyDescent="0.25">
      <c r="B63" s="9">
        <v>2271</v>
      </c>
      <c r="C63" s="9">
        <v>0</v>
      </c>
      <c r="D63" s="9">
        <v>1328704051</v>
      </c>
      <c r="E63" s="9">
        <v>0</v>
      </c>
      <c r="F63" s="10">
        <f t="shared" si="0"/>
        <v>1328704051</v>
      </c>
      <c r="G63" s="9"/>
      <c r="H63" s="9"/>
      <c r="I63" s="11">
        <v>2271</v>
      </c>
      <c r="J63" s="10">
        <v>1328704051</v>
      </c>
      <c r="K63" s="10">
        <f t="shared" si="1"/>
        <v>0</v>
      </c>
    </row>
    <row r="64" spans="2:11" hidden="1" x14ac:dyDescent="0.25">
      <c r="B64" s="9">
        <v>2281</v>
      </c>
      <c r="C64" s="9">
        <v>0</v>
      </c>
      <c r="D64" s="9">
        <v>9575625</v>
      </c>
      <c r="E64" s="9">
        <v>2736218</v>
      </c>
      <c r="F64" s="10">
        <f t="shared" si="0"/>
        <v>12311843</v>
      </c>
      <c r="G64" s="9"/>
      <c r="H64" s="9"/>
      <c r="I64" s="11">
        <v>2281</v>
      </c>
      <c r="J64" s="10">
        <v>12311843</v>
      </c>
      <c r="K64" s="10">
        <f t="shared" si="1"/>
        <v>0</v>
      </c>
    </row>
    <row r="65" spans="2:11" x14ac:dyDescent="0.25">
      <c r="B65" s="9">
        <v>2301</v>
      </c>
      <c r="C65" s="9">
        <v>0</v>
      </c>
      <c r="D65" s="9">
        <v>181274844</v>
      </c>
      <c r="E65" s="9">
        <v>1050206974</v>
      </c>
      <c r="F65" s="10">
        <f t="shared" si="0"/>
        <v>1231481818</v>
      </c>
      <c r="G65" s="9"/>
      <c r="H65" s="9"/>
      <c r="I65" s="11">
        <v>2301</v>
      </c>
      <c r="J65" s="10">
        <v>1231482818</v>
      </c>
      <c r="K65" s="10">
        <f t="shared" si="1"/>
        <v>-1000</v>
      </c>
    </row>
    <row r="66" spans="2:11" hidden="1" x14ac:dyDescent="0.25">
      <c r="B66" s="9">
        <v>2311</v>
      </c>
      <c r="C66" s="9">
        <v>96067</v>
      </c>
      <c r="D66" s="9">
        <v>53358321</v>
      </c>
      <c r="E66" s="9">
        <v>219140987</v>
      </c>
      <c r="F66" s="10">
        <f t="shared" si="0"/>
        <v>272403241</v>
      </c>
      <c r="G66" s="9"/>
      <c r="H66" s="9"/>
      <c r="I66" s="11">
        <v>2311</v>
      </c>
      <c r="J66" s="10">
        <v>272403241</v>
      </c>
      <c r="K66" s="10">
        <f t="shared" si="1"/>
        <v>0</v>
      </c>
    </row>
    <row r="67" spans="2:11" hidden="1" x14ac:dyDescent="0.25">
      <c r="B67" s="9">
        <v>2321</v>
      </c>
      <c r="C67" s="9">
        <v>0</v>
      </c>
      <c r="D67" s="9">
        <v>282501255</v>
      </c>
      <c r="E67" s="9">
        <v>0</v>
      </c>
      <c r="F67" s="10">
        <f t="shared" si="0"/>
        <v>282501255</v>
      </c>
      <c r="G67" s="9"/>
      <c r="H67" s="9"/>
      <c r="I67" s="11">
        <v>2321</v>
      </c>
      <c r="J67" s="10">
        <v>282501255</v>
      </c>
      <c r="K67" s="10">
        <f t="shared" si="1"/>
        <v>0</v>
      </c>
    </row>
    <row r="68" spans="2:11" hidden="1" x14ac:dyDescent="0.25">
      <c r="B68" s="9">
        <v>2331</v>
      </c>
      <c r="C68" s="9">
        <v>0</v>
      </c>
      <c r="D68" s="9">
        <v>42000000</v>
      </c>
      <c r="E68" s="9">
        <v>0</v>
      </c>
      <c r="F68" s="10">
        <f t="shared" ref="F68:F114" si="2">E68+D68-C68</f>
        <v>42000000</v>
      </c>
      <c r="G68" s="9"/>
      <c r="H68" s="9"/>
      <c r="I68" s="11">
        <v>2331</v>
      </c>
      <c r="J68" s="10">
        <v>42000000</v>
      </c>
      <c r="K68" s="10">
        <f t="shared" ref="K68:K112" si="3">F68-J68</f>
        <v>0</v>
      </c>
    </row>
    <row r="69" spans="2:11" hidden="1" x14ac:dyDescent="0.25">
      <c r="B69" s="9">
        <v>2351</v>
      </c>
      <c r="C69" s="9">
        <v>0</v>
      </c>
      <c r="D69" s="9">
        <v>622800</v>
      </c>
      <c r="E69" s="9">
        <v>201458323</v>
      </c>
      <c r="F69" s="10">
        <f t="shared" si="2"/>
        <v>202081123</v>
      </c>
      <c r="G69" s="9"/>
      <c r="H69" s="9"/>
      <c r="I69" s="11">
        <v>2351</v>
      </c>
      <c r="J69" s="10">
        <v>202081123</v>
      </c>
      <c r="K69" s="10">
        <f t="shared" si="3"/>
        <v>0</v>
      </c>
    </row>
    <row r="70" spans="2:11" hidden="1" x14ac:dyDescent="0.25">
      <c r="B70" s="9">
        <v>2361</v>
      </c>
      <c r="C70" s="9">
        <v>0</v>
      </c>
      <c r="D70" s="9">
        <v>138014750</v>
      </c>
      <c r="E70" s="9">
        <v>0</v>
      </c>
      <c r="F70" s="10">
        <f t="shared" si="2"/>
        <v>138014750</v>
      </c>
      <c r="G70" s="9"/>
      <c r="H70" s="9"/>
      <c r="I70" s="11">
        <v>2361</v>
      </c>
      <c r="J70" s="10">
        <v>138014750</v>
      </c>
      <c r="K70" s="10">
        <f t="shared" si="3"/>
        <v>0</v>
      </c>
    </row>
    <row r="71" spans="2:11" hidden="1" x14ac:dyDescent="0.25">
      <c r="B71" s="9">
        <v>2371</v>
      </c>
      <c r="C71" s="9">
        <v>3197989</v>
      </c>
      <c r="D71" s="9">
        <v>40280708</v>
      </c>
      <c r="E71" s="9">
        <v>102325952</v>
      </c>
      <c r="F71" s="10">
        <f t="shared" si="2"/>
        <v>139408671</v>
      </c>
      <c r="G71" s="9"/>
      <c r="H71" s="9"/>
      <c r="I71" s="11">
        <v>2371</v>
      </c>
      <c r="J71" s="10">
        <v>139408671</v>
      </c>
      <c r="K71" s="10">
        <f t="shared" si="3"/>
        <v>0</v>
      </c>
    </row>
    <row r="72" spans="2:11" hidden="1" x14ac:dyDescent="0.25">
      <c r="B72" s="9">
        <v>2381</v>
      </c>
      <c r="C72" s="9">
        <v>0</v>
      </c>
      <c r="D72" s="9">
        <v>2065000</v>
      </c>
      <c r="E72" s="9">
        <v>1243388</v>
      </c>
      <c r="F72" s="10">
        <f t="shared" si="2"/>
        <v>3308388</v>
      </c>
      <c r="G72" s="9"/>
      <c r="H72" s="9"/>
      <c r="I72" s="11">
        <v>2381</v>
      </c>
      <c r="J72" s="10">
        <v>3308388</v>
      </c>
      <c r="K72" s="10">
        <f t="shared" si="3"/>
        <v>0</v>
      </c>
    </row>
    <row r="73" spans="2:11" hidden="1" x14ac:dyDescent="0.25">
      <c r="B73" s="9">
        <v>2391</v>
      </c>
      <c r="C73" s="9">
        <v>0</v>
      </c>
      <c r="D73" s="9">
        <v>100348030</v>
      </c>
      <c r="E73" s="9">
        <v>0</v>
      </c>
      <c r="F73" s="10">
        <f t="shared" si="2"/>
        <v>100348030</v>
      </c>
      <c r="G73" s="9"/>
      <c r="H73" s="9"/>
      <c r="I73" s="11">
        <v>2391</v>
      </c>
      <c r="J73" s="10">
        <v>100348030</v>
      </c>
      <c r="K73" s="10">
        <f t="shared" si="3"/>
        <v>0</v>
      </c>
    </row>
    <row r="74" spans="2:11" hidden="1" x14ac:dyDescent="0.25">
      <c r="B74" s="9">
        <v>2401</v>
      </c>
      <c r="C74" s="9">
        <v>0</v>
      </c>
      <c r="D74" s="9">
        <v>1050000</v>
      </c>
      <c r="E74" s="9">
        <v>5801533</v>
      </c>
      <c r="F74" s="10">
        <f t="shared" si="2"/>
        <v>6851533</v>
      </c>
      <c r="G74" s="9"/>
      <c r="H74" s="9"/>
      <c r="I74" s="11">
        <v>2401</v>
      </c>
      <c r="J74" s="10">
        <v>6851533</v>
      </c>
      <c r="K74" s="10">
        <f t="shared" si="3"/>
        <v>0</v>
      </c>
    </row>
    <row r="75" spans="2:11" hidden="1" x14ac:dyDescent="0.25">
      <c r="B75" s="9">
        <v>2421</v>
      </c>
      <c r="C75" s="9">
        <v>0</v>
      </c>
      <c r="D75" s="9">
        <v>47507158</v>
      </c>
      <c r="E75" s="9">
        <v>37475497</v>
      </c>
      <c r="F75" s="10">
        <f t="shared" si="2"/>
        <v>84982655</v>
      </c>
      <c r="G75" s="9"/>
      <c r="H75" s="9"/>
      <c r="I75" s="11">
        <v>2421</v>
      </c>
      <c r="J75" s="10">
        <v>84982655</v>
      </c>
      <c r="K75" s="10">
        <f t="shared" si="3"/>
        <v>0</v>
      </c>
    </row>
    <row r="76" spans="2:11" hidden="1" x14ac:dyDescent="0.25">
      <c r="B76" s="9">
        <v>2431</v>
      </c>
      <c r="C76" s="9">
        <v>0</v>
      </c>
      <c r="D76" s="9">
        <v>480000</v>
      </c>
      <c r="E76" s="9">
        <v>3929071</v>
      </c>
      <c r="F76" s="10">
        <f t="shared" si="2"/>
        <v>4409071</v>
      </c>
      <c r="G76" s="9"/>
      <c r="H76" s="9"/>
      <c r="I76" s="11">
        <v>2431</v>
      </c>
      <c r="J76" s="10">
        <v>4409071</v>
      </c>
      <c r="K76" s="10">
        <f t="shared" si="3"/>
        <v>0</v>
      </c>
    </row>
    <row r="77" spans="2:11" hidden="1" x14ac:dyDescent="0.25">
      <c r="B77" s="9">
        <v>2441</v>
      </c>
      <c r="C77" s="9">
        <v>1245521</v>
      </c>
      <c r="D77" s="9">
        <v>30705344</v>
      </c>
      <c r="E77" s="9">
        <v>0</v>
      </c>
      <c r="F77" s="10">
        <f t="shared" si="2"/>
        <v>29459823</v>
      </c>
      <c r="G77" s="9"/>
      <c r="H77" s="9"/>
      <c r="I77" s="11">
        <v>2441</v>
      </c>
      <c r="J77" s="10">
        <v>29459823</v>
      </c>
      <c r="K77" s="10">
        <f t="shared" si="3"/>
        <v>0</v>
      </c>
    </row>
    <row r="78" spans="2:11" hidden="1" x14ac:dyDescent="0.25">
      <c r="B78" s="9">
        <v>2451</v>
      </c>
      <c r="C78" s="9">
        <v>0</v>
      </c>
      <c r="D78" s="9">
        <v>0</v>
      </c>
      <c r="E78" s="9">
        <v>3574622</v>
      </c>
      <c r="F78" s="10">
        <f t="shared" si="2"/>
        <v>3574622</v>
      </c>
      <c r="G78" s="9"/>
      <c r="H78" s="9"/>
      <c r="I78" s="11">
        <v>2451</v>
      </c>
      <c r="J78" s="10">
        <v>3574622</v>
      </c>
      <c r="K78" s="10">
        <f t="shared" si="3"/>
        <v>0</v>
      </c>
    </row>
    <row r="79" spans="2:11" hidden="1" x14ac:dyDescent="0.25">
      <c r="B79" s="9">
        <v>2461</v>
      </c>
      <c r="C79" s="9">
        <v>0</v>
      </c>
      <c r="D79" s="9">
        <v>40000</v>
      </c>
      <c r="E79" s="9">
        <v>2992012</v>
      </c>
      <c r="F79" s="10">
        <f t="shared" si="2"/>
        <v>3032012</v>
      </c>
      <c r="G79" s="9"/>
      <c r="H79" s="9"/>
      <c r="I79" s="11">
        <v>2461</v>
      </c>
      <c r="J79" s="10">
        <v>3032012</v>
      </c>
      <c r="K79" s="10">
        <f t="shared" si="3"/>
        <v>0</v>
      </c>
    </row>
    <row r="80" spans="2:11" hidden="1" x14ac:dyDescent="0.25">
      <c r="B80" s="9">
        <v>3041</v>
      </c>
      <c r="C80" s="9">
        <v>0</v>
      </c>
      <c r="D80" s="9">
        <v>87246000</v>
      </c>
      <c r="E80" s="9">
        <v>181918955</v>
      </c>
      <c r="F80" s="10">
        <f t="shared" si="2"/>
        <v>269164955</v>
      </c>
      <c r="G80" s="9"/>
      <c r="H80" s="9"/>
      <c r="I80" s="11">
        <v>3041</v>
      </c>
      <c r="J80" s="10">
        <v>269164955</v>
      </c>
      <c r="K80" s="10">
        <f t="shared" si="3"/>
        <v>0</v>
      </c>
    </row>
    <row r="81" spans="2:11" hidden="1" x14ac:dyDescent="0.25">
      <c r="B81" s="9">
        <v>3051</v>
      </c>
      <c r="C81" s="9">
        <v>0</v>
      </c>
      <c r="D81" s="9">
        <v>9357630</v>
      </c>
      <c r="E81" s="9">
        <v>72523315</v>
      </c>
      <c r="F81" s="10">
        <f t="shared" si="2"/>
        <v>81880945</v>
      </c>
      <c r="G81" s="9"/>
      <c r="H81" s="9"/>
      <c r="I81" s="11">
        <v>3051</v>
      </c>
      <c r="J81" s="10">
        <v>81880945</v>
      </c>
      <c r="K81" s="10">
        <f t="shared" si="3"/>
        <v>0</v>
      </c>
    </row>
    <row r="82" spans="2:11" hidden="1" x14ac:dyDescent="0.25">
      <c r="B82" s="9">
        <v>3151</v>
      </c>
      <c r="C82" s="9">
        <v>0</v>
      </c>
      <c r="D82" s="9">
        <v>2319100</v>
      </c>
      <c r="E82" s="9">
        <v>8589546</v>
      </c>
      <c r="F82" s="10">
        <f t="shared" si="2"/>
        <v>10908646</v>
      </c>
      <c r="G82" s="9"/>
      <c r="H82" s="9"/>
      <c r="I82" s="11">
        <v>3151</v>
      </c>
      <c r="J82" s="10">
        <v>10908646</v>
      </c>
      <c r="K82" s="10">
        <f t="shared" si="3"/>
        <v>0</v>
      </c>
    </row>
    <row r="83" spans="2:11" x14ac:dyDescent="0.25">
      <c r="B83" s="9">
        <v>4031</v>
      </c>
      <c r="C83" s="9">
        <v>367500</v>
      </c>
      <c r="D83" s="9">
        <v>1081258870</v>
      </c>
      <c r="E83" s="9">
        <v>10000</v>
      </c>
      <c r="F83" s="10">
        <f t="shared" si="2"/>
        <v>1080901370</v>
      </c>
      <c r="G83" s="9"/>
      <c r="H83" s="9"/>
      <c r="I83" s="11">
        <v>4031</v>
      </c>
      <c r="J83" s="10">
        <v>1129155934</v>
      </c>
      <c r="K83" s="10">
        <f t="shared" si="3"/>
        <v>-48254564</v>
      </c>
    </row>
    <row r="84" spans="2:11" hidden="1" x14ac:dyDescent="0.25">
      <c r="B84" s="9">
        <v>4041</v>
      </c>
      <c r="C84" s="9">
        <v>0</v>
      </c>
      <c r="D84" s="9">
        <v>2870000</v>
      </c>
      <c r="E84" s="9">
        <v>0</v>
      </c>
      <c r="F84" s="10">
        <f t="shared" si="2"/>
        <v>2870000</v>
      </c>
      <c r="G84" s="9"/>
      <c r="H84" s="9"/>
      <c r="I84" s="11">
        <v>4041</v>
      </c>
      <c r="J84" s="10">
        <v>2870000</v>
      </c>
      <c r="K84" s="10">
        <f t="shared" si="3"/>
        <v>0</v>
      </c>
    </row>
    <row r="85" spans="2:11" hidden="1" x14ac:dyDescent="0.25">
      <c r="B85" s="9">
        <v>4061</v>
      </c>
      <c r="C85" s="9">
        <v>0</v>
      </c>
      <c r="D85" s="9">
        <v>19900000</v>
      </c>
      <c r="E85" s="9">
        <v>0</v>
      </c>
      <c r="F85" s="10">
        <f t="shared" si="2"/>
        <v>19900000</v>
      </c>
      <c r="G85" s="9"/>
      <c r="H85" s="9"/>
      <c r="I85" s="11">
        <v>4061</v>
      </c>
      <c r="J85" s="10">
        <v>19900000</v>
      </c>
      <c r="K85" s="10">
        <f t="shared" si="3"/>
        <v>0</v>
      </c>
    </row>
    <row r="86" spans="2:11" hidden="1" x14ac:dyDescent="0.25">
      <c r="B86" s="9">
        <v>4091</v>
      </c>
      <c r="C86" s="9">
        <v>0</v>
      </c>
      <c r="D86" s="9">
        <v>5137061</v>
      </c>
      <c r="E86" s="9">
        <v>850000</v>
      </c>
      <c r="F86" s="10">
        <f t="shared" si="2"/>
        <v>5987061</v>
      </c>
      <c r="G86" s="9"/>
      <c r="H86" s="9"/>
      <c r="I86" s="11">
        <v>4091</v>
      </c>
      <c r="J86" s="10">
        <v>5987061</v>
      </c>
      <c r="K86" s="10">
        <f t="shared" si="3"/>
        <v>0</v>
      </c>
    </row>
    <row r="87" spans="2:11" hidden="1" x14ac:dyDescent="0.25">
      <c r="B87" s="9">
        <v>4101</v>
      </c>
      <c r="C87" s="9">
        <v>0</v>
      </c>
      <c r="D87" s="9">
        <v>184500000</v>
      </c>
      <c r="E87" s="9">
        <v>60001000</v>
      </c>
      <c r="F87" s="10">
        <f t="shared" si="2"/>
        <v>244501000</v>
      </c>
      <c r="G87" s="9"/>
      <c r="H87" s="9"/>
      <c r="I87" s="11">
        <v>4101</v>
      </c>
      <c r="J87" s="10">
        <v>244501000</v>
      </c>
      <c r="K87" s="10">
        <f t="shared" si="3"/>
        <v>0</v>
      </c>
    </row>
    <row r="88" spans="2:11" hidden="1" x14ac:dyDescent="0.25">
      <c r="B88" s="9">
        <v>4111</v>
      </c>
      <c r="C88" s="9">
        <v>176000</v>
      </c>
      <c r="D88" s="9">
        <v>2200000</v>
      </c>
      <c r="E88" s="9">
        <v>0</v>
      </c>
      <c r="F88" s="10">
        <f t="shared" si="2"/>
        <v>2024000</v>
      </c>
      <c r="G88" s="9"/>
      <c r="H88" s="9"/>
      <c r="I88" s="11">
        <v>4111</v>
      </c>
      <c r="J88" s="10">
        <v>2024000</v>
      </c>
      <c r="K88" s="10">
        <f t="shared" si="3"/>
        <v>0</v>
      </c>
    </row>
    <row r="89" spans="2:11" hidden="1" x14ac:dyDescent="0.25">
      <c r="B89" s="9">
        <v>4121</v>
      </c>
      <c r="C89" s="9">
        <v>0</v>
      </c>
      <c r="D89" s="9">
        <v>35000000</v>
      </c>
      <c r="E89" s="9">
        <v>0</v>
      </c>
      <c r="F89" s="10">
        <f t="shared" si="2"/>
        <v>35000000</v>
      </c>
      <c r="G89" s="9"/>
      <c r="H89" s="9"/>
      <c r="I89" s="11">
        <v>4121</v>
      </c>
      <c r="J89" s="10">
        <v>35000000</v>
      </c>
      <c r="K89" s="10">
        <f t="shared" si="3"/>
        <v>0</v>
      </c>
    </row>
    <row r="90" spans="2:11" hidden="1" x14ac:dyDescent="0.25">
      <c r="B90" s="9">
        <v>4141</v>
      </c>
      <c r="C90" s="9">
        <v>0</v>
      </c>
      <c r="D90" s="9">
        <v>2500000</v>
      </c>
      <c r="E90" s="9">
        <v>0</v>
      </c>
      <c r="F90" s="10">
        <f t="shared" si="2"/>
        <v>2500000</v>
      </c>
      <c r="G90" s="9"/>
      <c r="H90" s="9"/>
      <c r="I90" s="11">
        <v>4141</v>
      </c>
      <c r="J90" s="10">
        <v>2500000</v>
      </c>
      <c r="K90" s="10">
        <f t="shared" si="3"/>
        <v>0</v>
      </c>
    </row>
    <row r="91" spans="2:11" hidden="1" x14ac:dyDescent="0.25">
      <c r="B91" s="9">
        <v>4151</v>
      </c>
      <c r="C91" s="9">
        <v>0</v>
      </c>
      <c r="D91" s="9">
        <v>2000</v>
      </c>
      <c r="E91" s="9">
        <v>0</v>
      </c>
      <c r="F91" s="10">
        <f t="shared" si="2"/>
        <v>2000</v>
      </c>
      <c r="G91" s="9"/>
      <c r="H91" s="9"/>
      <c r="I91" s="11">
        <v>4151</v>
      </c>
      <c r="J91" s="10">
        <v>2000</v>
      </c>
      <c r="K91" s="10">
        <f t="shared" si="3"/>
        <v>0</v>
      </c>
    </row>
    <row r="92" spans="2:11" hidden="1" x14ac:dyDescent="0.25">
      <c r="B92" s="9">
        <v>4171</v>
      </c>
      <c r="C92" s="9">
        <v>0</v>
      </c>
      <c r="D92" s="9">
        <v>2000</v>
      </c>
      <c r="E92" s="9">
        <v>0</v>
      </c>
      <c r="F92" s="10">
        <f t="shared" si="2"/>
        <v>2000</v>
      </c>
      <c r="G92" s="9"/>
      <c r="H92" s="9"/>
      <c r="I92" s="11">
        <v>4171</v>
      </c>
      <c r="J92" s="10">
        <v>2000</v>
      </c>
      <c r="K92" s="10">
        <f t="shared" si="3"/>
        <v>0</v>
      </c>
    </row>
    <row r="93" spans="2:11" hidden="1" x14ac:dyDescent="0.25">
      <c r="B93" s="9">
        <v>4251</v>
      </c>
      <c r="C93" s="9">
        <v>0</v>
      </c>
      <c r="D93" s="9">
        <v>6500000</v>
      </c>
      <c r="E93" s="9">
        <v>93869741</v>
      </c>
      <c r="F93" s="10">
        <f t="shared" si="2"/>
        <v>100369741</v>
      </c>
      <c r="G93" s="9"/>
      <c r="H93" s="9"/>
      <c r="I93" s="11">
        <v>4251</v>
      </c>
      <c r="J93" s="10">
        <v>100369741</v>
      </c>
      <c r="K93" s="10">
        <f t="shared" si="3"/>
        <v>0</v>
      </c>
    </row>
    <row r="94" spans="2:11" hidden="1" x14ac:dyDescent="0.25">
      <c r="B94" s="9">
        <v>4291</v>
      </c>
      <c r="C94" s="9">
        <v>0</v>
      </c>
      <c r="D94" s="9">
        <v>1210140629</v>
      </c>
      <c r="E94" s="9">
        <v>5122391596</v>
      </c>
      <c r="F94" s="10">
        <f t="shared" si="2"/>
        <v>6332532225</v>
      </c>
      <c r="G94" s="9"/>
      <c r="H94" s="9"/>
      <c r="I94" s="11">
        <v>4291</v>
      </c>
      <c r="J94" s="10">
        <v>6332532225</v>
      </c>
      <c r="K94" s="10">
        <f t="shared" si="3"/>
        <v>0</v>
      </c>
    </row>
    <row r="95" spans="2:11" hidden="1" x14ac:dyDescent="0.25">
      <c r="B95" s="9">
        <v>4321</v>
      </c>
      <c r="C95" s="9">
        <v>0</v>
      </c>
      <c r="D95" s="9">
        <v>0</v>
      </c>
      <c r="E95" s="9">
        <v>11050</v>
      </c>
      <c r="F95" s="10">
        <f t="shared" si="2"/>
        <v>11050</v>
      </c>
      <c r="G95" s="9"/>
      <c r="H95" s="9"/>
      <c r="I95" s="11">
        <v>4321</v>
      </c>
      <c r="J95" s="10">
        <v>11050</v>
      </c>
      <c r="K95" s="10">
        <f t="shared" si="3"/>
        <v>0</v>
      </c>
    </row>
    <row r="96" spans="2:11" hidden="1" x14ac:dyDescent="0.25">
      <c r="B96" s="9">
        <v>4331</v>
      </c>
      <c r="C96" s="9">
        <v>0</v>
      </c>
      <c r="D96" s="9">
        <v>5000000</v>
      </c>
      <c r="E96" s="9">
        <v>5000000</v>
      </c>
      <c r="F96" s="10">
        <f t="shared" si="2"/>
        <v>10000000</v>
      </c>
      <c r="G96" s="9"/>
      <c r="H96" s="9"/>
      <c r="I96" s="11">
        <v>4331</v>
      </c>
      <c r="J96" s="10">
        <v>10000000</v>
      </c>
      <c r="K96" s="10">
        <f t="shared" si="3"/>
        <v>0</v>
      </c>
    </row>
    <row r="97" spans="2:11" hidden="1" x14ac:dyDescent="0.25">
      <c r="B97" s="9">
        <v>4341</v>
      </c>
      <c r="C97" s="9">
        <v>0</v>
      </c>
      <c r="D97" s="9">
        <v>630000</v>
      </c>
      <c r="E97" s="9">
        <v>91192171</v>
      </c>
      <c r="F97" s="10">
        <f t="shared" si="2"/>
        <v>91822171</v>
      </c>
      <c r="G97" s="9"/>
      <c r="H97" s="9"/>
      <c r="I97" s="11">
        <v>4341</v>
      </c>
      <c r="J97" s="10">
        <v>91822171</v>
      </c>
      <c r="K97" s="10">
        <f t="shared" si="3"/>
        <v>0</v>
      </c>
    </row>
    <row r="98" spans="2:11" hidden="1" x14ac:dyDescent="0.25">
      <c r="B98" s="9">
        <v>4381</v>
      </c>
      <c r="C98" s="9">
        <v>10502120</v>
      </c>
      <c r="D98" s="9">
        <v>171004292</v>
      </c>
      <c r="E98" s="9">
        <v>107094699</v>
      </c>
      <c r="F98" s="10">
        <f t="shared" si="2"/>
        <v>267596871</v>
      </c>
      <c r="G98" s="9"/>
      <c r="H98" s="9"/>
      <c r="I98" s="11">
        <v>4381</v>
      </c>
      <c r="J98" s="10">
        <v>267596871</v>
      </c>
      <c r="K98" s="10">
        <f t="shared" si="3"/>
        <v>0</v>
      </c>
    </row>
    <row r="99" spans="2:11" hidden="1" x14ac:dyDescent="0.25">
      <c r="B99" s="9">
        <v>4421</v>
      </c>
      <c r="C99" s="9">
        <v>0</v>
      </c>
      <c r="D99" s="9">
        <v>1349107</v>
      </c>
      <c r="E99" s="9">
        <v>10000</v>
      </c>
      <c r="F99" s="10">
        <f t="shared" si="2"/>
        <v>1359107</v>
      </c>
      <c r="G99" s="9"/>
      <c r="H99" s="9"/>
      <c r="I99" s="11">
        <v>4421</v>
      </c>
      <c r="J99" s="10">
        <v>1359107</v>
      </c>
      <c r="K99" s="10">
        <f t="shared" si="3"/>
        <v>0</v>
      </c>
    </row>
    <row r="100" spans="2:11" hidden="1" x14ac:dyDescent="0.25">
      <c r="B100" s="9">
        <v>4441</v>
      </c>
      <c r="C100" s="9">
        <v>0</v>
      </c>
      <c r="D100" s="9">
        <v>9125000</v>
      </c>
      <c r="E100" s="9">
        <v>0</v>
      </c>
      <c r="F100" s="10">
        <f t="shared" si="2"/>
        <v>9125000</v>
      </c>
      <c r="G100" s="9"/>
      <c r="H100" s="9"/>
      <c r="I100" s="11">
        <v>4441</v>
      </c>
      <c r="J100" s="10">
        <v>9125000</v>
      </c>
      <c r="K100" s="10">
        <f t="shared" si="3"/>
        <v>0</v>
      </c>
    </row>
    <row r="101" spans="2:11" hidden="1" x14ac:dyDescent="0.25">
      <c r="B101" s="9">
        <v>4451</v>
      </c>
      <c r="C101" s="9">
        <v>0</v>
      </c>
      <c r="D101" s="9">
        <v>9197000</v>
      </c>
      <c r="E101" s="9">
        <v>0</v>
      </c>
      <c r="F101" s="10">
        <f t="shared" si="2"/>
        <v>9197000</v>
      </c>
      <c r="G101" s="9"/>
      <c r="H101" s="9"/>
      <c r="I101" s="11">
        <v>4451</v>
      </c>
      <c r="J101" s="10">
        <v>9197000</v>
      </c>
      <c r="K101" s="10">
        <f t="shared" si="3"/>
        <v>0</v>
      </c>
    </row>
    <row r="102" spans="2:11" hidden="1" x14ac:dyDescent="0.25">
      <c r="B102" s="9">
        <v>4461</v>
      </c>
      <c r="C102" s="9">
        <v>2057137154</v>
      </c>
      <c r="D102" s="9">
        <v>11661191486</v>
      </c>
      <c r="E102" s="9">
        <v>0</v>
      </c>
      <c r="F102" s="10">
        <f t="shared" si="2"/>
        <v>9604054332</v>
      </c>
      <c r="G102" s="9"/>
      <c r="H102" s="9"/>
      <c r="I102" s="11">
        <v>4461</v>
      </c>
      <c r="J102" s="10">
        <v>9604054332</v>
      </c>
      <c r="K102" s="10">
        <f t="shared" si="3"/>
        <v>0</v>
      </c>
    </row>
    <row r="103" spans="2:11" hidden="1" x14ac:dyDescent="0.25">
      <c r="B103" s="9">
        <v>4481</v>
      </c>
      <c r="C103" s="9">
        <v>0</v>
      </c>
      <c r="D103" s="9">
        <v>0</v>
      </c>
      <c r="E103" s="9">
        <v>1050</v>
      </c>
      <c r="F103" s="10">
        <f t="shared" si="2"/>
        <v>1050</v>
      </c>
      <c r="G103" s="9"/>
      <c r="H103" s="9"/>
      <c r="I103" s="11">
        <v>4481</v>
      </c>
      <c r="J103" s="10">
        <v>1050</v>
      </c>
      <c r="K103" s="10">
        <f t="shared" si="3"/>
        <v>0</v>
      </c>
    </row>
    <row r="104" spans="2:11" x14ac:dyDescent="0.25">
      <c r="B104" s="9">
        <v>4491</v>
      </c>
      <c r="C104" s="9">
        <v>0</v>
      </c>
      <c r="D104" s="9">
        <v>21000</v>
      </c>
      <c r="E104" s="9">
        <v>10000000</v>
      </c>
      <c r="F104" s="10">
        <f t="shared" si="2"/>
        <v>10021000</v>
      </c>
      <c r="G104" s="9"/>
      <c r="H104" s="9"/>
      <c r="I104" s="11">
        <v>4491</v>
      </c>
      <c r="J104" s="10">
        <v>10109000</v>
      </c>
      <c r="K104" s="10">
        <f t="shared" si="3"/>
        <v>-88000</v>
      </c>
    </row>
    <row r="105" spans="2:11" hidden="1" x14ac:dyDescent="0.25">
      <c r="B105" s="9">
        <v>4501</v>
      </c>
      <c r="C105" s="9">
        <v>0</v>
      </c>
      <c r="D105" s="9">
        <v>401000</v>
      </c>
      <c r="E105" s="9">
        <v>0</v>
      </c>
      <c r="F105" s="10">
        <f t="shared" si="2"/>
        <v>401000</v>
      </c>
      <c r="G105" s="9"/>
      <c r="H105" s="9"/>
      <c r="I105" s="11">
        <v>4501</v>
      </c>
      <c r="J105" s="10">
        <v>401000</v>
      </c>
      <c r="K105" s="10">
        <f t="shared" si="3"/>
        <v>0</v>
      </c>
    </row>
    <row r="106" spans="2:11" hidden="1" x14ac:dyDescent="0.25">
      <c r="B106" s="9">
        <v>4511</v>
      </c>
      <c r="C106" s="9">
        <v>0</v>
      </c>
      <c r="D106" s="9">
        <v>247600000</v>
      </c>
      <c r="E106" s="9">
        <v>0</v>
      </c>
      <c r="F106" s="10">
        <f t="shared" si="2"/>
        <v>247600000</v>
      </c>
      <c r="G106" s="9"/>
      <c r="H106" s="9"/>
      <c r="I106" s="11">
        <v>4511</v>
      </c>
      <c r="J106" s="10">
        <v>247600000</v>
      </c>
      <c r="K106" s="10">
        <f t="shared" si="3"/>
        <v>0</v>
      </c>
    </row>
    <row r="107" spans="2:11" hidden="1" x14ac:dyDescent="0.25">
      <c r="B107" s="9">
        <v>4531</v>
      </c>
      <c r="C107" s="9">
        <v>0</v>
      </c>
      <c r="D107" s="9">
        <v>0</v>
      </c>
      <c r="E107" s="9">
        <v>1000</v>
      </c>
      <c r="F107" s="10">
        <f t="shared" si="2"/>
        <v>1000</v>
      </c>
      <c r="G107" s="9"/>
      <c r="H107" s="9"/>
      <c r="I107" s="11">
        <v>4531</v>
      </c>
      <c r="J107" s="10">
        <v>1000</v>
      </c>
      <c r="K107" s="10">
        <f t="shared" si="3"/>
        <v>0</v>
      </c>
    </row>
    <row r="108" spans="2:11" hidden="1" x14ac:dyDescent="0.25">
      <c r="B108" s="9">
        <v>4541</v>
      </c>
      <c r="C108" s="9">
        <v>0</v>
      </c>
      <c r="D108" s="9">
        <v>31513500</v>
      </c>
      <c r="E108" s="9">
        <v>0</v>
      </c>
      <c r="F108" s="10">
        <f t="shared" si="2"/>
        <v>31513500</v>
      </c>
      <c r="G108" s="9"/>
      <c r="H108" s="9"/>
      <c r="I108" s="11">
        <v>4541</v>
      </c>
      <c r="J108" s="10">
        <v>31513500</v>
      </c>
      <c r="K108" s="10">
        <f t="shared" si="3"/>
        <v>0</v>
      </c>
    </row>
    <row r="109" spans="2:11" hidden="1" x14ac:dyDescent="0.25">
      <c r="B109" s="9">
        <v>4551</v>
      </c>
      <c r="C109" s="9">
        <v>0</v>
      </c>
      <c r="D109" s="9">
        <v>51403152</v>
      </c>
      <c r="E109" s="9">
        <v>0</v>
      </c>
      <c r="F109" s="10">
        <f t="shared" si="2"/>
        <v>51403152</v>
      </c>
      <c r="G109" s="9"/>
      <c r="H109" s="9"/>
      <c r="I109" s="11">
        <v>4551</v>
      </c>
      <c r="J109" s="10">
        <v>51403152</v>
      </c>
      <c r="K109" s="10">
        <f t="shared" si="3"/>
        <v>0</v>
      </c>
    </row>
    <row r="110" spans="2:11" hidden="1" x14ac:dyDescent="0.25">
      <c r="B110" s="9">
        <v>4571</v>
      </c>
      <c r="C110" s="9">
        <v>0</v>
      </c>
      <c r="D110" s="9">
        <v>0</v>
      </c>
      <c r="E110" s="9">
        <v>1050</v>
      </c>
      <c r="F110" s="10">
        <f t="shared" si="2"/>
        <v>1050</v>
      </c>
      <c r="G110" s="9"/>
      <c r="H110" s="9"/>
      <c r="I110" s="11">
        <v>4571</v>
      </c>
      <c r="J110" s="10">
        <v>1050</v>
      </c>
      <c r="K110" s="10">
        <f t="shared" si="3"/>
        <v>0</v>
      </c>
    </row>
    <row r="111" spans="2:11" hidden="1" x14ac:dyDescent="0.25">
      <c r="B111" s="9">
        <v>4581</v>
      </c>
      <c r="C111" s="9">
        <v>0</v>
      </c>
      <c r="D111" s="9">
        <v>0</v>
      </c>
      <c r="E111" s="9">
        <v>1050</v>
      </c>
      <c r="F111" s="10">
        <f t="shared" si="2"/>
        <v>1050</v>
      </c>
      <c r="G111" s="9"/>
      <c r="H111" s="9"/>
      <c r="I111" s="11">
        <v>4581</v>
      </c>
      <c r="J111" s="10">
        <v>1050</v>
      </c>
      <c r="K111" s="10">
        <f t="shared" si="3"/>
        <v>0</v>
      </c>
    </row>
    <row r="112" spans="2:11" hidden="1" x14ac:dyDescent="0.25">
      <c r="B112" s="9">
        <v>4601</v>
      </c>
      <c r="C112" s="9">
        <v>0</v>
      </c>
      <c r="D112" s="9">
        <v>50000</v>
      </c>
      <c r="E112" s="9">
        <v>0</v>
      </c>
      <c r="F112" s="10">
        <f t="shared" si="2"/>
        <v>50000</v>
      </c>
      <c r="G112" s="9"/>
      <c r="H112" s="9"/>
      <c r="I112" s="11">
        <v>4601</v>
      </c>
      <c r="J112" s="10">
        <v>50000</v>
      </c>
      <c r="K112" s="10">
        <f t="shared" si="3"/>
        <v>0</v>
      </c>
    </row>
    <row r="113" spans="2:6" x14ac:dyDescent="0.25">
      <c r="B113">
        <v>9901</v>
      </c>
      <c r="C113">
        <v>0</v>
      </c>
      <c r="D113">
        <v>60140982794</v>
      </c>
      <c r="E113">
        <v>0</v>
      </c>
      <c r="F113" s="5">
        <f t="shared" si="2"/>
        <v>60140982794</v>
      </c>
    </row>
    <row r="114" spans="2:6" x14ac:dyDescent="0.25">
      <c r="B114" t="s">
        <v>8</v>
      </c>
      <c r="C114">
        <v>2178559466</v>
      </c>
      <c r="D114">
        <v>83099833747</v>
      </c>
      <c r="E114">
        <v>72825069122</v>
      </c>
      <c r="F114" s="5">
        <f t="shared" si="2"/>
        <v>153746343403</v>
      </c>
    </row>
  </sheetData>
  <autoFilter ref="B2:K114">
    <filterColumn colId="9">
      <filters blank="1">
        <filter val="1.000"/>
        <filter val="-1.000"/>
        <filter val="100.000"/>
        <filter val="-15.120"/>
        <filter val="-16.337.500"/>
        <filter val="-2.625.000"/>
        <filter val="-2.868.393"/>
        <filter val="-30.000"/>
        <filter val="-37.450.000"/>
        <filter val="-48.254.564"/>
        <filter val="-5.000.000"/>
        <filter val="-515.000"/>
        <filter val="-8.149.735"/>
        <filter val="-88.000"/>
      </filters>
    </filterColumn>
  </autoFilter>
  <sortState ref="I3:K112">
    <sortCondition ref="I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Daniel do Nascimento Silva (ESCRITORIO)</cp:lastModifiedBy>
  <dcterms:created xsi:type="dcterms:W3CDTF">2016-06-21T20:10:54Z</dcterms:created>
  <dcterms:modified xsi:type="dcterms:W3CDTF">2016-06-28T16:07:13Z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ce28ce61-69d8-4ad8-b028-af7490e80b3d</vt:lpwstr>
  </property>
</Properties>
</file>