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1075" windowHeight="8760"/>
  </bookViews>
  <sheets>
    <sheet name="Plan1" sheetId="1" r:id="rId1"/>
  </sheets>
  <calcPr calcId="145621"/>
</workbook>
</file>

<file path=xl/calcChain.xml><?xml version="1.0" encoding="utf-8"?>
<calcChain xmlns="http://schemas.openxmlformats.org/spreadsheetml/2006/main">
  <c r="B15" i="1" l="1"/>
  <c r="B10" i="1"/>
  <c r="C5" i="1"/>
  <c r="B5" i="1"/>
</calcChain>
</file>

<file path=xl/sharedStrings.xml><?xml version="1.0" encoding="utf-8"?>
<sst xmlns="http://schemas.openxmlformats.org/spreadsheetml/2006/main" count="14" uniqueCount="12">
  <si>
    <t>F</t>
  </si>
  <si>
    <t>Valor Limite 2016</t>
  </si>
  <si>
    <t>Valor Utilizado 2016</t>
  </si>
  <si>
    <t>Valor Receita 2016</t>
  </si>
  <si>
    <t>Valor QDD 2016</t>
  </si>
  <si>
    <t>REPASSE DE RECURSOS DO TESOURO ESTADUAL</t>
  </si>
  <si>
    <t>TESTE</t>
  </si>
  <si>
    <t>VL_QDD_AJUSTADO &gt; VL_RECEITA</t>
  </si>
  <si>
    <t>SIM</t>
  </si>
  <si>
    <t>VL_QDD_AJUSTADO - VL_RECEITA</t>
  </si>
  <si>
    <t>NÃO</t>
  </si>
  <si>
    <t>Obs: VL_QDD_AJUSTADO (UO_GFP) - Excluir os IPUs 2 do QDD e substituir pelas unidades financiadoras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</si>
</sst>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2" fillId="0" borderId="2" xfId="1" applyFont="1" applyBorder="1"/>
    <xf numFmtId="0" fontId="2" fillId="0" borderId="1" xfId="0" applyFont="1" applyBorder="1"/>
    <xf numFmtId="43" fontId="0" fillId="0" borderId="0" xfId="0" applyNumberFormat="1"/>
    <xf numFmtId="0" fontId="0" fillId="0" borderId="1" xfId="0" applyBorder="1"/>
    <xf numFmtId="43" fontId="0" fillId="0" borderId="1" xfId="1" applyFont="1" applyBorder="1"/>
    <xf numFmtId="0" fontId="0" fillId="0" borderId="3" xfId="0" applyBorder="1"/>
    <xf numFmtId="43" fontId="0" fillId="0" borderId="3" xfId="1" applyFont="1" applyBorder="1"/>
    <xf numFmtId="0" fontId="3" fillId="0" borderId="0" xfId="0" applyFont="1" applyFill="1" applyBorder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"/>
  <sheetViews>
    <sheetView showGridLines="0" tabSelected="1" workbookViewId="0">
      <selection activeCell="E3" sqref="E3"/>
    </sheetView>
  </sheetViews>
  <sheetFormatPr defaultRowHeight="15" x14ac:dyDescent="0.25"/>
  <cols>
    <col min="2" max="3" width="24.140625" customWidth="1"/>
  </cols>
  <sheetData>
    <row r="2" spans="1:4" x14ac:dyDescent="0.25">
      <c r="A2" s="12" t="s">
        <v>0</v>
      </c>
      <c r="B2" s="12" t="s">
        <v>1</v>
      </c>
      <c r="C2" s="12" t="s">
        <v>2</v>
      </c>
    </row>
    <row r="3" spans="1:4" x14ac:dyDescent="0.25">
      <c r="A3" s="1">
        <v>10</v>
      </c>
      <c r="B3" s="2">
        <v>9810503</v>
      </c>
      <c r="C3" s="2">
        <v>9810503</v>
      </c>
    </row>
    <row r="4" spans="1:4" x14ac:dyDescent="0.25">
      <c r="A4" s="1">
        <v>60</v>
      </c>
      <c r="B4" s="2">
        <v>3000</v>
      </c>
      <c r="C4" s="2">
        <v>24200</v>
      </c>
    </row>
    <row r="5" spans="1:4" ht="15.75" thickBot="1" x14ac:dyDescent="0.3">
      <c r="A5" s="3"/>
      <c r="B5" s="3">
        <f>SUBTOTAL(9,B3:B4)</f>
        <v>9813503</v>
      </c>
      <c r="C5" s="3">
        <f>SUBTOTAL(9,C3:C4)</f>
        <v>9834703</v>
      </c>
    </row>
    <row r="6" spans="1:4" ht="15.75" thickTop="1" x14ac:dyDescent="0.25">
      <c r="A6" s="1"/>
      <c r="C6" s="2"/>
    </row>
    <row r="7" spans="1:4" x14ac:dyDescent="0.25">
      <c r="A7" s="12" t="s">
        <v>0</v>
      </c>
      <c r="B7" s="11" t="s">
        <v>3</v>
      </c>
      <c r="C7" s="2"/>
    </row>
    <row r="8" spans="1:4" x14ac:dyDescent="0.25">
      <c r="A8" s="1">
        <v>10</v>
      </c>
      <c r="B8" s="2">
        <v>0</v>
      </c>
      <c r="C8" s="2"/>
    </row>
    <row r="9" spans="1:4" x14ac:dyDescent="0.25">
      <c r="A9" s="1">
        <v>60</v>
      </c>
      <c r="B9" s="2">
        <v>358200</v>
      </c>
      <c r="C9" s="2"/>
    </row>
    <row r="10" spans="1:4" ht="15.75" thickBot="1" x14ac:dyDescent="0.3">
      <c r="A10" s="3"/>
      <c r="B10" s="3">
        <f>SUBTOTAL(9,B9)</f>
        <v>358200</v>
      </c>
      <c r="C10" s="2"/>
    </row>
    <row r="11" spans="1:4" ht="15.75" thickTop="1" x14ac:dyDescent="0.25">
      <c r="A11" s="1"/>
      <c r="C11" s="2"/>
    </row>
    <row r="12" spans="1:4" x14ac:dyDescent="0.25">
      <c r="A12" s="12" t="s">
        <v>0</v>
      </c>
      <c r="B12" s="11" t="s">
        <v>4</v>
      </c>
      <c r="C12" s="2"/>
    </row>
    <row r="13" spans="1:4" x14ac:dyDescent="0.25">
      <c r="A13" s="1">
        <v>10</v>
      </c>
      <c r="B13" s="2">
        <v>9810503</v>
      </c>
      <c r="C13" s="2"/>
      <c r="D13" s="5"/>
    </row>
    <row r="14" spans="1:4" x14ac:dyDescent="0.25">
      <c r="A14" s="1">
        <v>60</v>
      </c>
      <c r="B14" s="2">
        <v>3000</v>
      </c>
      <c r="C14" s="2"/>
      <c r="D14" s="5"/>
    </row>
    <row r="15" spans="1:4" ht="15.75" thickBot="1" x14ac:dyDescent="0.3">
      <c r="A15" s="3"/>
      <c r="B15" s="3">
        <f>SUBTOTAL(9,B13:B14)</f>
        <v>9813503</v>
      </c>
      <c r="C15" s="2"/>
      <c r="D15" s="5"/>
    </row>
    <row r="16" spans="1:4" ht="15.75" thickTop="1" x14ac:dyDescent="0.25">
      <c r="C16" s="2"/>
    </row>
    <row r="17" spans="1:3" x14ac:dyDescent="0.25">
      <c r="C17" s="2"/>
    </row>
    <row r="18" spans="1:3" x14ac:dyDescent="0.25">
      <c r="A18" s="4" t="s">
        <v>5</v>
      </c>
      <c r="B18" s="6"/>
      <c r="C18" s="7"/>
    </row>
    <row r="19" spans="1:3" x14ac:dyDescent="0.25">
      <c r="A19" t="s">
        <v>6</v>
      </c>
      <c r="B19" t="s">
        <v>7</v>
      </c>
      <c r="C19" s="2"/>
    </row>
    <row r="20" spans="1:3" x14ac:dyDescent="0.25">
      <c r="A20" t="s">
        <v>8</v>
      </c>
      <c r="B20" t="s">
        <v>9</v>
      </c>
      <c r="C20" s="2"/>
    </row>
    <row r="21" spans="1:3" x14ac:dyDescent="0.25">
      <c r="A21" s="8" t="s">
        <v>10</v>
      </c>
      <c r="B21" s="8">
        <v>0</v>
      </c>
      <c r="C21" s="9"/>
    </row>
    <row r="22" spans="1:3" x14ac:dyDescent="0.25">
      <c r="A22" s="10" t="s">
        <v>11</v>
      </c>
      <c r="C2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Alves de Oliveira Júnior (SEPLAG)</dc:creator>
  <cp:lastModifiedBy>Francisco Alves de Oliveira Júnior (SEPLAG)</cp:lastModifiedBy>
  <dcterms:created xsi:type="dcterms:W3CDTF">2016-06-15T17:55:12Z</dcterms:created>
  <dcterms:modified xsi:type="dcterms:W3CDTF">2016-06-15T18:16:39Z</dcterms:modified>
</cp:coreProperties>
</file>