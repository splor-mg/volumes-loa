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/>
  <mc:AlternateContent xmlns:mc="http://schemas.openxmlformats.org/markup-compatibility/2006">
    <mc:Choice Requires="x15">
      <x15ac:absPath xmlns:x15ac="http://schemas.microsoft.com/office/spreadsheetml/2010/11/ac" url="/Users/fjunior/Projects/splor/volumes-loa/bancos/SISOR/"/>
    </mc:Choice>
  </mc:AlternateContent>
  <xr:revisionPtr revIDLastSave="0" documentId="8_{9E71E713-9140-0741-AEC5-9A055039F90F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base_qdd_fiscal" sheetId="1" r:id="rId1"/>
  </sheets>
  <definedNames>
    <definedName name="_xlnm._FilterDatabase" localSheetId="0" hidden="1">base_qdd_fiscal!$A$1:$AF$111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6" i="1" l="1"/>
  <c r="X34" i="1"/>
  <c r="W34" i="1"/>
  <c r="V34" i="1"/>
  <c r="AF33" i="1"/>
  <c r="AF34" i="1"/>
  <c r="AF35" i="1"/>
  <c r="AF106" i="1"/>
  <c r="AF22" i="1"/>
  <c r="AF2" i="1"/>
  <c r="AF4" i="1"/>
  <c r="AF3" i="1"/>
  <c r="AF5" i="1"/>
  <c r="AF111" i="1"/>
  <c r="AF110" i="1"/>
  <c r="AF109" i="1"/>
  <c r="AF108" i="1"/>
  <c r="AF107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2" i="1"/>
  <c r="AF31" i="1"/>
  <c r="AF30" i="1"/>
  <c r="AF29" i="1"/>
  <c r="AF28" i="1"/>
  <c r="AF27" i="1"/>
  <c r="AF26" i="1"/>
  <c r="AF25" i="1"/>
  <c r="AF24" i="1"/>
  <c r="AF23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</calcChain>
</file>

<file path=xl/sharedStrings.xml><?xml version="1.0" encoding="utf-8"?>
<sst xmlns="http://schemas.openxmlformats.org/spreadsheetml/2006/main" count="802" uniqueCount="196">
  <si>
    <t>ANO</t>
  </si>
  <si>
    <t>COD_ORGAO</t>
  </si>
  <si>
    <t>ORGAO</t>
  </si>
  <si>
    <t>PODER</t>
  </si>
  <si>
    <t>SITUACAO</t>
  </si>
  <si>
    <t>COD_UO</t>
  </si>
  <si>
    <t>UO</t>
  </si>
  <si>
    <t>CATEGORIA</t>
  </si>
  <si>
    <t>GRUPO_DESPESA</t>
  </si>
  <si>
    <t>MODALIDADE</t>
  </si>
  <si>
    <t>ELEMENTO_DESPESA</t>
  </si>
  <si>
    <t>FONTE</t>
  </si>
  <si>
    <t>IPU</t>
  </si>
  <si>
    <t>SEQ_PROGTRAB</t>
  </si>
  <si>
    <t>FUNCAO</t>
  </si>
  <si>
    <t>SUB_FUNCAO</t>
  </si>
  <si>
    <t>PROGRAMA</t>
  </si>
  <si>
    <t>IDENT_PROJATIV</t>
  </si>
  <si>
    <t>PROJ_ATIV</t>
  </si>
  <si>
    <t>AÇÃO</t>
  </si>
  <si>
    <t>SUB_PROJETO</t>
  </si>
  <si>
    <t>VALOR UO (R$)</t>
  </si>
  <si>
    <t>VALOR SCPPO (R$)</t>
  </si>
  <si>
    <t>VALOR FINAL (R$)</t>
  </si>
  <si>
    <t>IAG</t>
  </si>
  <si>
    <t>NOME_ACAO</t>
  </si>
  <si>
    <t>NOME_PROGRAMA</t>
  </si>
  <si>
    <t>Acordo ou decisão</t>
  </si>
  <si>
    <t>Anexo</t>
  </si>
  <si>
    <t>Instrumento de entrada</t>
  </si>
  <si>
    <t>Projetos do Acordo Judicial e outros detalhamentos</t>
  </si>
  <si>
    <t>ESPECIFICAÇÃO</t>
  </si>
  <si>
    <t>APOIO ÀS POLÍTICAS PÚBLICAS</t>
  </si>
  <si>
    <t>GABINETE MILITAR DO GOVERNADOR DO ESTADO DE MINAS GERAIS - GMG</t>
  </si>
  <si>
    <t>GABINETE MILITAR DO GOVERNADOR DO ESTADO DE MINAS GERAIS - GABINETE MILITAR</t>
  </si>
  <si>
    <t>PROTEÇÃO E DEFESA CIVIL</t>
  </si>
  <si>
    <t>Acordo Judicial Vale</t>
  </si>
  <si>
    <t>Anexo IV</t>
  </si>
  <si>
    <t>Convivência com a Seca - Construção de cisternas</t>
  </si>
  <si>
    <t>ADVOCACIA GERAL DO ESTADO - AGE</t>
  </si>
  <si>
    <t>REPRESENTAÇÃO JURÍDICA DO ESTADO E ENTIDADES</t>
  </si>
  <si>
    <t>Reestruturação logística, tecnológica e de cobrança da dívida ativa da AGE</t>
  </si>
  <si>
    <t>OUVIDORIA-GERAL DO ESTADO DE MINAS GERAIS - OGE</t>
  </si>
  <si>
    <t>GOVERNANÇA PARA INTEGRIDADE E MELHORES RESULTADOS EM SERVIÇOS PÚBLICOS</t>
  </si>
  <si>
    <t>Implantação da Ouvidoria 4.0 e Ouvidoria Móvel</t>
  </si>
  <si>
    <t>SECRETARIA DE ESTADO DE DESENVOLVIMENTO ECONÔMICO - SEDE</t>
  </si>
  <si>
    <t>MINAS GERAÇÃO DE VALOR</t>
  </si>
  <si>
    <t>Elaboração de instrumentos de gestão para desenvolvimento de mineração sustentável e competitiva - Elaboração do Plano Estadual da Mineração de Minas Gerais</t>
  </si>
  <si>
    <t>Elaboração de instrumentos de gestão para desenvolvimento de mineração sustentável e competitiva - Avaliação Ambiental Estratégica</t>
  </si>
  <si>
    <t>SECRETARIA DE ESTADO DE AGRICULTURA, PECUÁRIA E ABASTECIMENTO - SEAPA</t>
  </si>
  <si>
    <t>INSTITUTO MINEIRO DE AGROPECUÁRIA - IMA</t>
  </si>
  <si>
    <t>DEFESA SANITÁRIA</t>
  </si>
  <si>
    <t>Implantação do Sistema de Gestão de Processos (BPMS) no Instituto Mineiro de Agropecuária (IMA)</t>
  </si>
  <si>
    <t>4.4.10 - Ressarcimentos e contratações temporárias</t>
  </si>
  <si>
    <t>Contratações temporárias</t>
  </si>
  <si>
    <t>Reestruturação do laboratório de química agropecuária do Instituto Mineiro de Agropecuária</t>
  </si>
  <si>
    <t>Revitalização do Parque de Exposições Bolivar de Andrade</t>
  </si>
  <si>
    <t>POLÍCIA MILITAR DO ESTADO DE MINAS GERAIS - PMMG</t>
  </si>
  <si>
    <t>PROTEÇÃO SOCIAL DOS MILITARES</t>
  </si>
  <si>
    <t>POLÍCIA OSTENSIVA</t>
  </si>
  <si>
    <t>Ampliação da rede de rádio digital no interior do Estado de Minas Gerais</t>
  </si>
  <si>
    <t>Proteção policial individual e do cidadão mineiro</t>
  </si>
  <si>
    <t>Fortalecimento do atendimento à saúde militar</t>
  </si>
  <si>
    <t>SECRETARIA DE ESTADO DE CULTURA E TURISMO - SECULT</t>
  </si>
  <si>
    <t>FOMENTO À ECONOMIA DA CRIATIVIDADE</t>
  </si>
  <si>
    <t>MAIS TURISTAS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</si>
  <si>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</si>
  <si>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</si>
  <si>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</si>
  <si>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INSTITUTO ESTADUAL DO PATRIMÔNIO HISTÓRICO E ARTÍSTICO DE MINAS GERAIS - IEPHA</t>
  </si>
  <si>
    <t>Georreferenciamento de bens culturais protegidos</t>
  </si>
  <si>
    <t>SECRETARIA DE ESTADO DE INFRAESTRUTURA, MOBILIDADE E PARCERIA - SEINFRA</t>
  </si>
  <si>
    <t>SECRETARIA DE ESTADO DE INFRAESTRUTURA, MOBILIDADE E PARCERIAS - SEINFRA</t>
  </si>
  <si>
    <t>PROMOÇÃO DE CONCESSÕES E PARCERIAS</t>
  </si>
  <si>
    <t>DESENVOLVIMENTO SUSTENTÁVEL DA INFRAESTRUTURA RODOVIÁRIA</t>
  </si>
  <si>
    <t>DESENVOLVIMENTO DA INFRAESTRUTURA ESTADUAL, MUNICIPAL E REGIONAL</t>
  </si>
  <si>
    <t>Prevenção de Enchentes - Construção de Bacias de Contenção no Córrego Ferrugem</t>
  </si>
  <si>
    <t>Prevenção de Enchentes - Desapropriação para construção de bacias de contenção no Córrego Riacho das Pedras</t>
  </si>
  <si>
    <t>DEPARTAMENTO DE EDIFICAÇÕES E ESTRADAS DE RODAGEM DO ESTADO DE MINAS GERAIS - DER-MG</t>
  </si>
  <si>
    <t>Agenda Integrada - Renova</t>
  </si>
  <si>
    <t>Sem Anexo</t>
  </si>
  <si>
    <t>Marliéria</t>
  </si>
  <si>
    <t>Melhoria da infraestrutura dos municípios - Mobilidade regional na Bacia do Paraopeba</t>
  </si>
  <si>
    <t>Realização de obras rodoviárias - Caeté - Barão de Cocais e Contorno de Barão de Cocais</t>
  </si>
  <si>
    <t>Anexo III</t>
  </si>
  <si>
    <t>Recuperação de rodovias pavimentadas em pior estado, conforme avaliação técnica do DER-MG/conclusão de corredor logístico estruturante, conforme critérios técnicos da SEINFRA</t>
  </si>
  <si>
    <t>Ressarcimentos de despesas públicas</t>
  </si>
  <si>
    <t>AGÊNCIA DE DESENVOLVIMENTO DA REGIÃO METROPOLITANA DE BELO HORIZONTE - AGÊNCIA RMBH</t>
  </si>
  <si>
    <t>CAMINHOS PARA O DESENVOLVIMENTO INTEGRADO METROPOLITANO</t>
  </si>
  <si>
    <t>Atualização do Plano Diretor de Desenvolvimento Integrado da Região Metropolitana de Belo Horizonte - PDDI-RMBH</t>
  </si>
  <si>
    <t>Elaboração de Plano Metropolitano de Segurança Hídrica para a Região Metropolitana de Belo Horizonte</t>
  </si>
  <si>
    <t>FUNDO DE PAGAMENTO DE PARCERIAS PÚBLICO - PRIVADAS DE MINAS GERAIS - FPP - MG</t>
  </si>
  <si>
    <t>Implantação do Rodoanel da Região Metropolitana de Belo Horizonte</t>
  </si>
  <si>
    <t>SECRETARIA DE ESTADO DE SAÚDE - SES</t>
  </si>
  <si>
    <t>FUNDAÇÃO HOSPITALAR DO ESTADO DE MINAS GERAIS - FHEMIG</t>
  </si>
  <si>
    <t>ATENÇÃO HOSPITALAR ESPECIALIZADA</t>
  </si>
  <si>
    <t>Reestruturação dos Hospitais da Rede FHEMIG (Hospital Infantil João Paulo II, Hospital João XXIII e Hospital Júlia Kubitschek)</t>
  </si>
  <si>
    <t>FUNDO ESTADUAL DE SAÚDE - FES</t>
  </si>
  <si>
    <t>ACESSO A SERVIÇOS DE SAÚDE</t>
  </si>
  <si>
    <t>APOIO À GESTÃO DO SUS</t>
  </si>
  <si>
    <t>POLÍTICAS DE ATENÇÃO HOSPITALAR</t>
  </si>
  <si>
    <t>Conclusão de obra e Equipagem de Hospitais Regionais</t>
  </si>
  <si>
    <t>TTAC - Rio Doce</t>
  </si>
  <si>
    <t>Samu Leste/vale do aço</t>
  </si>
  <si>
    <t>SECRETARIA DE ESTADO DE MEIO AMBIENTE E DESENVOLVIMENTO SUSTENTÁVEL - SEMAD</t>
  </si>
  <si>
    <t>GESTÃO AMBIENTAL.</t>
  </si>
  <si>
    <t>MONITORAMENTO, CONTROLE E FISCALIZAÇÃO AMBIENTAL</t>
  </si>
  <si>
    <t>Fortalecimento da estrutura de fiscalização do Sistema Estadual de Meio Ambiente</t>
  </si>
  <si>
    <t>Implantação de Fábrica de Software para construção de sistema de governança ambiental</t>
  </si>
  <si>
    <t>FUNDAÇÃO ESTADUAL DO MEIO AMBIENTE - FEAM</t>
  </si>
  <si>
    <t>RECUPERAÇÃO AMBIENTAL E GESTÃO DE BARRAGENS</t>
  </si>
  <si>
    <t>Consultoria técnica sobre a descaracterização das barragens I e II da Mundo Mineração Ltda</t>
  </si>
  <si>
    <t>INSTITUTO ESTADUAL DE FLORESTAS - IEF</t>
  </si>
  <si>
    <t>PROTEÇÃO DAS ÁREAS AMBIENTALMENTE CONSERVADAS, DA FAUNA E DA BIODIVERSIDADE FLORESTAL</t>
  </si>
  <si>
    <t>Ações de Prevenção e Combate a Incêndio em Unidades de Conservação Estaduais</t>
  </si>
  <si>
    <t>Consolidação das unidades de conservação no Estado de Minas Gerais</t>
  </si>
  <si>
    <t>Apoio às ações de consolidação da unidade de conservação do PERD - Agenda Integrada</t>
  </si>
  <si>
    <t>Construção e/ou manutenção de Centros de Triagem e Reabilitação de Animais Silvestres no Estado de Minas Gerais</t>
  </si>
  <si>
    <t>INSTITUTO MINEIRO DE GESTÃO DAS ÁGUAS - IGAM</t>
  </si>
  <si>
    <t>FORTALECIMENTO DA POLÍTICA ESTADUAL DE RECURSOS HÍDRICOS</t>
  </si>
  <si>
    <t>AGÊNCIA REGULADORA DE SERVIÇOS DE ABASTECIMENTO DE ÁGUA E DE ESGOTAMENTO SANITÁRIO DO ESTADO DE MINAS GERAIS - ARSAE -MG</t>
  </si>
  <si>
    <t>REGULAÇÃO E FISCALIZAÇÃO DOS SERVIÇOS DE ABASTECIMENTO DE ÁGUA E DE ESGOTAMENTO SANITÁRIO E ATENDIMENTO AOS USUÁRIOS</t>
  </si>
  <si>
    <t>Implantação do Sistema de Informações Regulatórias da ARSAE-MG</t>
  </si>
  <si>
    <t>CORPO DE BOMBEIROS MILITAR DO ESTADO DE MINAS GERAIS - CBMMG</t>
  </si>
  <si>
    <t>PROMOÇÃO DE DEFESA CIVIL</t>
  </si>
  <si>
    <t>Execução de obras e serviços de engenharia em várias unidades do CBMMG</t>
  </si>
  <si>
    <t>Reestruturação das Tecnologias de Informação do CBMMG</t>
  </si>
  <si>
    <t>Ampliação de postos de abastecimento próprios do Estado</t>
  </si>
  <si>
    <t>SECRETARIA DE ESTADO DE JUSTIÇA E SEGURANÇA PÚBLICA - SEJUSP</t>
  </si>
  <si>
    <t>INFRAESTRUTURA DO SISTEMA PRISIONAL</t>
  </si>
  <si>
    <t>Reintegração social e humanização do sistema prisional</t>
  </si>
  <si>
    <t>SECRETARIA DE ESTADO DE DESENVOLVIMENTO SOCIAL - SEDESE</t>
  </si>
  <si>
    <t>SECRETARIA DE ESTADO DE PLANEJAMENTO E GESTÃO - SEPLAG</t>
  </si>
  <si>
    <t>REPARAÇÃO DOS DANOS DOS ROMPIMENTOS EM BRUMADINHO E MARIANA</t>
  </si>
  <si>
    <t>GESTÃO DA CIDADE ADMINISTRATIVA</t>
  </si>
  <si>
    <t>Melhoria da estrutura logística e energética da Cidade Administrativa para redução de custos</t>
  </si>
  <si>
    <t>POLÍCIA CIVIL DO ESTADO DE MINAS GERAIS - PCMG</t>
  </si>
  <si>
    <t>INVESTIGAÇÃO</t>
  </si>
  <si>
    <t>Estruturação operacional da Polícia Civil de Minas Gerais</t>
  </si>
  <si>
    <t>Construção do Núcleo Integrado de Perícias da Polícia Civil de Minas Gerais</t>
  </si>
  <si>
    <t>IDENTIFICAÇÃO CIVIL E CRIMINAL</t>
  </si>
  <si>
    <t>Projeto ABIS - Sistema Automatizado de Identificação Biométrica</t>
  </si>
  <si>
    <t>Modernização da identificação civil e criminal - Digitalização do acervo de fichas datiloscópicas e cartões onomásticos</t>
  </si>
  <si>
    <t>CONTROLADORIA-GERAL DO ESTADO - CGE</t>
  </si>
  <si>
    <t>MINAS ÍNTEGRA E TRANSPARENTE</t>
  </si>
  <si>
    <t>Fortalecimento e reestruturação tecnológica da Controladoria Geral do Estado</t>
  </si>
  <si>
    <t>AUDITORIA INTERNA PARA O FUTURO</t>
  </si>
  <si>
    <t>ENFRENTAMENTO DA CORRUPÇÃO E RECUPERAÇÃO DE ATIVOS</t>
  </si>
  <si>
    <t>Acordo Judicial Vale - Anexo IV - 9288147 - Convivência com a Seca - Construção de cisternas</t>
  </si>
  <si>
    <t>Acordo Judicial Vale - Anexo IV - 9288176 - Reestruturação logística, tecnológica e de cobrança da dívida ativa da AGE</t>
  </si>
  <si>
    <t>Acordo Judicial Vale - Anexo IV - 9288143 - Implantação da Ouvidoria 4.0 e Ouvidoria Móvel</t>
  </si>
  <si>
    <t>Acordo Judicial Vale - Anexo IV - 9288211 - Elaboração de instrumentos de gestão para desenvolvimento de mineração sustentável e competitiva - Elaboração do Plano Estadual da Mineração de Minas Gerais</t>
  </si>
  <si>
    <t>Acordo Judicial Vale - Anexo IV - 9288210 - Elaboração de instrumentos de gestão para desenvolvimento de mineração sustentável e competitiva - Avaliação Ambiental Estratégica</t>
  </si>
  <si>
    <t>Acordo Judicial Vale - Anexo IV - 9288193 - Implantação do Sistema de Gestão de Processos (BPMS) no Instituto Mineiro de Agropecuária (IMA)</t>
  </si>
  <si>
    <t>Acordo Judicial Vale - 4.4.10 - Ressarcimentos e contratações temporárias - 0 - Contratações temporárias</t>
  </si>
  <si>
    <t>Acordo Judicial Vale - Anexo IV - 9288194 - Reestruturação do laboratório de química agropecuária do Instituto Mineiro de Agropecuária</t>
  </si>
  <si>
    <t>Acordo Judicial Vale - Anexo IV - 9288149 - Revitalização do Parque de Exposições Bolivar de Andrade</t>
  </si>
  <si>
    <t>Acordo Judicial Vale - Anexo IV - 9288137 - Ampliação da rede de rádio digital no interior do Estado de Minas Gerais</t>
  </si>
  <si>
    <t>Acordo Judicial Vale - Anexo IV - 9288138 - Proteção policial individual e do cidadão mineiro</t>
  </si>
  <si>
    <t>Acordo Judicial Vale - Anexo IV - 9288148 - Fortalecimento do atendimento à saúde militar</t>
  </si>
  <si>
    <t>Acordo Judicial Vale - Anexo IV - 9288152 - Fortalecimento da competitividade turística de Minas Gerais</t>
  </si>
  <si>
    <t>Acordo Judicial Vale - Anexo IV - 9288153 - Pesquisas, Tendências e Monitoramento da Cultura e do Turismo</t>
  </si>
  <si>
    <t>Acordo Judicial Vale - Anexo IV - 9288154 - Plano de Desenvolvimento Integrado do Turismo em Minas Gerais</t>
  </si>
  <si>
    <t>Acordo Judicial Vale - Anexo IV - 9288141 - Georreferenciamento de bens culturais protegidos</t>
  </si>
  <si>
    <t>Acordo Judicial Vale - 4.4.10 - Ressarcimentos e contratações temporárias - 9288192 - Contratações temporárias</t>
  </si>
  <si>
    <t>Acordo Judicial Vale - Anexo IV - 9288178 - Prevenção de Enchentes - Construção de Bacias de Contenção no Córrego Ferrugem</t>
  </si>
  <si>
    <t>Acordo Judicial Vale - Anexo IV - 9288179 - Prevenção de Enchentes - Desapropriação para construção de bacias de contenção no Córrego Riacho das Pedras</t>
  </si>
  <si>
    <t>Agenda Integrada - Renova - Sem Anexo - 9382040 - Marliéria</t>
  </si>
  <si>
    <t>Acordo Judicial Vale - Anexo IV - 9342884 - Melhoria da infraestrutura dos municípios - Mobilidade regional na Bacia do Paraopeba</t>
  </si>
  <si>
    <t>Acordo Judicial Vale - Anexo IV - 9288134 - Realização de obras rodoviárias - Caeté - Barão de Cocais e Contorno de Barão de Cocais</t>
  </si>
  <si>
    <t>Acordo Judicial Vale - Anexo III - 9288133 - Recuperação de rodovias pavimentadas em pior estado, conforme avaliação técnica do DER-MG/conclusão de corredor logístico estruturante, conforme critérios técnicos da SEINFRA</t>
  </si>
  <si>
    <t>Acordo Judicial Vale - 4.4.10 - Ressarcimentos e contratações temporárias - 9288191 - Ressarcimentos de despesas públicas</t>
  </si>
  <si>
    <t>Acordo Judicial Vale - Anexo IV - 9288139 - Atualização do Plano Diretor de Desenvolvimento Integrado da Região Metropolitana de Belo Horizonte - PDDI-RMBH</t>
  </si>
  <si>
    <t>Acordo Judicial Vale - Anexo IV - 9288185 - Elaboração de Plano Metropolitano de Segurança Hídrica para a Região Metropolitana de Belo Horizonte</t>
  </si>
  <si>
    <t>Acordo Judicial Vale - Anexo III - 9288180 - Implantação do Rodoanel da Região Metropolitana de Belo Horizonte</t>
  </si>
  <si>
    <t>Acordo Judicial Vale - Anexo IV - 9288136 - Reestruturação dos Hospitais da Rede FHEMIG (Hospital Infantil João Paulo II, Hospital João XXIII e Hospital Júlia Kubitschek)</t>
  </si>
  <si>
    <t>Acordo Judicial Vale - Anexo IV - 9288198 - Conclusão de obra e Equipagem de Hospitais Regionais</t>
  </si>
  <si>
    <t>TTAC - Rio Doce - Sem Anexo - 9341041 - Samu Leste/vale do aço</t>
  </si>
  <si>
    <t>Acordo Judicial Vale - Anexo IV - 9288195 - Fortalecimento da estrutura de fiscalização do Sistema Estadual de Meio Ambiente</t>
  </si>
  <si>
    <t>Acordo Judicial Vale - Anexo IV - 9288213 - Implantação de Fábrica de Software para construção de sistema de governança ambiental</t>
  </si>
  <si>
    <t>Acordo Judicial Vale - Anexo IV - 9288189 - Consultoria técnica sobre a descaracterização das barragens I e II da Mundo Mineração Ltda</t>
  </si>
  <si>
    <t>Acordo Judicial Vale - Anexo IV - 9288186 - Ações de Prevenção e Combate a Incêndio em Unidades de Conservação Estaduais</t>
  </si>
  <si>
    <t>Acordo Judicial Vale - Anexo IV - 9288187 - Consolidação das unidades de conservação no Estado de Minas Gerais</t>
  </si>
  <si>
    <t>Agenda Integrada - Renova - Sem Anexo - 9313593 - Apoio às ações de consolidação da unidade de conservação do PERD - Agenda Integrada</t>
  </si>
  <si>
    <t>Acordo Judicial Vale - Anexo IV - 9288188 - Construção e/ou manutenção de Centros de Triagem e Reabilitação de Animais Silvestres no Estado de Minas Gerais</t>
  </si>
  <si>
    <t>Acordo Judicial Vale - Anexo IV - 9288135 - Implantação do Sistema de Informações Regulatórias da ARSAE-MG</t>
  </si>
  <si>
    <t>Acordo Judicial Vale - Anexo IV - 9288169 - Execução de obras e serviços de engenharia em várias unidades do CBMMG</t>
  </si>
  <si>
    <t>Acordo Judicial Vale - Anexo IV - 9288167 - Reestruturação das Tecnologias de Informação do CBMMG</t>
  </si>
  <si>
    <t>Acordo Judicial Vale - Anexo IV - 9288182 - Ampliação de postos de abastecimento próprios do Estado</t>
  </si>
  <si>
    <t>Acordo Judicial Vale - Anexo IV - 9288181 - Reintegração social e humanização do sistema prisional</t>
  </si>
  <si>
    <t>Acordo Judicial Vale - Anexo IV - 9288183 - Melhoria da estrutura logística e energética da Cidade Administrativa para redução de custos</t>
  </si>
  <si>
    <t>Acordo Judicial Vale - Anexo IV - 9288196 - Estruturação operacional da Polícia Civil de Minas Gerais</t>
  </si>
  <si>
    <t>Acordo Judicial Vale - Anexo IV - 9288144 - Construção do Núcleo Integrado de Perícias da Polícia Civil de Minas Gerais</t>
  </si>
  <si>
    <t>Acordo Judicial Vale - Anexo IV - 9288145 - Projeto ABIS - Sistema Automatizado de Identificação Biométrica</t>
  </si>
  <si>
    <t>Acordo Judicial Vale - Anexo IV - 9334530 - Modernização da identificação civil e criminal - Digitalização do acervo de fichas datiloscópicas e cartões onomásticos</t>
  </si>
  <si>
    <t>Acordo Judicial Vale - Anexo IV - 9288155 - Fortalecimento e reestruturação tecnológica da Controladoria Geral do Estado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</si>
</sst>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C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16" fillId="33" borderId="10" xfId="0" applyFont="1" applyFill="1" applyBorder="1" applyAlignment="1">
      <alignment wrapText="1"/>
    </xf>
    <xf numFmtId="0" fontId="0" fillId="0" borderId="10" xfId="0" applyBorder="1" applyAlignment="1">
      <alignment wrapText="1"/>
    </xf>
    <xf numFmtId="4" fontId="0" fillId="0" borderId="10" xfId="0" applyNumberFormat="1" applyBorder="1" applyAlignment="1">
      <alignment wrapText="1"/>
    </xf>
    <xf numFmtId="0" fontId="16" fillId="34" borderId="10" xfId="0" applyFont="1" applyFill="1" applyBorder="1" applyAlignment="1">
      <alignment wrapText="1"/>
    </xf>
    <xf numFmtId="0" fontId="16" fillId="35" borderId="10" xfId="0" applyFont="1" applyFill="1" applyBorder="1" applyAlignment="1">
      <alignment wrapText="1"/>
    </xf>
    <xf numFmtId="0" fontId="18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0" fillId="0" borderId="10" xfId="0" applyBorder="1" applyAlignment="1">
      <alignment vertical="top" wrapText="1"/>
    </xf>
    <xf numFmtId="0" fontId="18" fillId="0" borderId="11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43" fontId="0" fillId="0" borderId="10" xfId="0" applyNumberFormat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11"/>
  <sheetViews>
    <sheetView showGridLines="0" tabSelected="1" topLeftCell="V1" workbookViewId="0">
      <selection activeCell="AB2" sqref="AB2"/>
    </sheetView>
  </sheetViews>
  <sheetFormatPr baseColWidth="10" defaultColWidth="8.83203125" defaultRowHeight="15" x14ac:dyDescent="0.2"/>
  <cols>
    <col min="1" max="1" width="5.1640625" bestFit="1" customWidth="1"/>
    <col min="2" max="2" width="12.5" bestFit="1" customWidth="1"/>
    <col min="3" max="3" width="36.5" bestFit="1" customWidth="1"/>
    <col min="4" max="4" width="7" bestFit="1" customWidth="1"/>
    <col min="5" max="5" width="10.1640625" bestFit="1" customWidth="1"/>
    <col min="6" max="6" width="8.6640625" bestFit="1" customWidth="1"/>
    <col min="7" max="7" width="36.5" bestFit="1" customWidth="1"/>
    <col min="8" max="8" width="11.33203125" bestFit="1" customWidth="1"/>
    <col min="9" max="9" width="16.5" bestFit="1" customWidth="1"/>
    <col min="10" max="10" width="13.33203125" bestFit="1" customWidth="1"/>
    <col min="11" max="11" width="19.5" bestFit="1" customWidth="1"/>
    <col min="12" max="12" width="6.83203125" bestFit="1" customWidth="1"/>
    <col min="13" max="13" width="4.1640625" bestFit="1" customWidth="1"/>
    <col min="14" max="14" width="15.33203125" bestFit="1" customWidth="1"/>
    <col min="15" max="15" width="8.6640625" bestFit="1" customWidth="1"/>
    <col min="16" max="16" width="13.5" bestFit="1" customWidth="1"/>
    <col min="17" max="17" width="11.6640625" bestFit="1" customWidth="1"/>
    <col min="18" max="18" width="16" bestFit="1" customWidth="1"/>
    <col min="19" max="19" width="10.5" bestFit="1" customWidth="1"/>
    <col min="20" max="20" width="6.1640625" bestFit="1" customWidth="1"/>
    <col min="21" max="21" width="13.5" bestFit="1" customWidth="1"/>
    <col min="22" max="22" width="15.5" bestFit="1" customWidth="1"/>
    <col min="23" max="23" width="17.5" bestFit="1" customWidth="1"/>
    <col min="24" max="24" width="16.6640625" bestFit="1" customWidth="1"/>
    <col min="25" max="25" width="4.33203125" bestFit="1" customWidth="1"/>
    <col min="26" max="32" width="36.5" bestFit="1" customWidth="1"/>
  </cols>
  <sheetData>
    <row r="1" spans="1:32" ht="3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5" t="s">
        <v>31</v>
      </c>
    </row>
    <row r="2" spans="1:32" ht="48" x14ac:dyDescent="0.2">
      <c r="A2" s="2">
        <v>2024</v>
      </c>
      <c r="B2" s="2">
        <v>1070</v>
      </c>
      <c r="C2" s="2" t="s">
        <v>33</v>
      </c>
      <c r="D2" s="2">
        <v>3</v>
      </c>
      <c r="E2" s="2">
        <v>0</v>
      </c>
      <c r="F2" s="2">
        <v>1071</v>
      </c>
      <c r="G2" s="2" t="s">
        <v>34</v>
      </c>
      <c r="H2" s="2">
        <v>4</v>
      </c>
      <c r="I2" s="2">
        <v>4</v>
      </c>
      <c r="J2" s="2">
        <v>90</v>
      </c>
      <c r="K2" s="2">
        <v>39</v>
      </c>
      <c r="L2" s="2">
        <v>95</v>
      </c>
      <c r="M2" s="2">
        <v>1</v>
      </c>
      <c r="N2" s="2">
        <v>10892</v>
      </c>
      <c r="O2" s="2">
        <v>6</v>
      </c>
      <c r="P2" s="2">
        <v>182</v>
      </c>
      <c r="Q2" s="2">
        <v>48</v>
      </c>
      <c r="R2" s="2">
        <v>1</v>
      </c>
      <c r="S2" s="2">
        <v>89</v>
      </c>
      <c r="T2" s="2">
        <v>1089</v>
      </c>
      <c r="U2" s="2">
        <v>1</v>
      </c>
      <c r="V2" s="3">
        <v>10000000</v>
      </c>
      <c r="W2" s="3">
        <v>10000000</v>
      </c>
      <c r="X2" s="3">
        <v>10000000</v>
      </c>
      <c r="Y2" s="2">
        <v>0</v>
      </c>
      <c r="Z2" s="2" t="s">
        <v>148</v>
      </c>
      <c r="AA2" s="2" t="s">
        <v>35</v>
      </c>
      <c r="AB2" s="6" t="s">
        <v>36</v>
      </c>
      <c r="AC2" s="9" t="s">
        <v>37</v>
      </c>
      <c r="AD2" s="6">
        <v>9288147</v>
      </c>
      <c r="AE2" s="9" t="s">
        <v>38</v>
      </c>
      <c r="AF2" s="8" t="str">
        <f t="shared" ref="AF2" si="0">CONCATENATE(AB2," - ",AC2," - ",AD2," - ",AE2)</f>
        <v>Acordo Judicial Vale - Anexo IV - 9288147 - Convivência com a Seca - Construção de cisternas</v>
      </c>
    </row>
    <row r="3" spans="1:32" ht="48" x14ac:dyDescent="0.2">
      <c r="A3" s="2">
        <v>2024</v>
      </c>
      <c r="B3" s="2">
        <v>1080</v>
      </c>
      <c r="C3" s="2" t="s">
        <v>39</v>
      </c>
      <c r="D3" s="2">
        <v>3</v>
      </c>
      <c r="E3" s="2">
        <v>0</v>
      </c>
      <c r="F3" s="2">
        <v>1081</v>
      </c>
      <c r="G3" s="2" t="s">
        <v>39</v>
      </c>
      <c r="H3" s="2">
        <v>3</v>
      </c>
      <c r="I3" s="2">
        <v>3</v>
      </c>
      <c r="J3" s="2">
        <v>90</v>
      </c>
      <c r="K3" s="2">
        <v>40</v>
      </c>
      <c r="L3" s="2">
        <v>95</v>
      </c>
      <c r="M3" s="2">
        <v>1</v>
      </c>
      <c r="N3" s="2">
        <v>10315</v>
      </c>
      <c r="O3" s="2">
        <v>3</v>
      </c>
      <c r="P3" s="2">
        <v>92</v>
      </c>
      <c r="Q3" s="2">
        <v>44</v>
      </c>
      <c r="R3" s="2">
        <v>1</v>
      </c>
      <c r="S3" s="2">
        <v>14</v>
      </c>
      <c r="T3" s="2">
        <v>1014</v>
      </c>
      <c r="U3" s="2">
        <v>1</v>
      </c>
      <c r="V3" s="3">
        <v>436099</v>
      </c>
      <c r="W3" s="3">
        <v>436099</v>
      </c>
      <c r="X3" s="3">
        <v>436099</v>
      </c>
      <c r="Y3" s="2">
        <v>0</v>
      </c>
      <c r="Z3" s="2" t="s">
        <v>149</v>
      </c>
      <c r="AA3" s="2" t="s">
        <v>40</v>
      </c>
      <c r="AB3" s="6" t="s">
        <v>36</v>
      </c>
      <c r="AC3" s="9" t="s">
        <v>37</v>
      </c>
      <c r="AD3" s="6">
        <v>9288176</v>
      </c>
      <c r="AE3" s="9" t="s">
        <v>41</v>
      </c>
      <c r="AF3" s="8" t="str">
        <f t="shared" ref="AF3:AF4" si="1">CONCATENATE(AB3," - ",AC3," - ",AD3," - ",AE3)</f>
        <v>Acordo Judicial Vale - Anexo IV - 9288176 - Reestruturação logística, tecnológica e de cobrança da dívida ativa da AGE</v>
      </c>
    </row>
    <row r="4" spans="1:32" ht="48" x14ac:dyDescent="0.2">
      <c r="A4" s="2">
        <v>2024</v>
      </c>
      <c r="B4" s="2">
        <v>1080</v>
      </c>
      <c r="C4" s="2" t="s">
        <v>39</v>
      </c>
      <c r="D4" s="2">
        <v>3</v>
      </c>
      <c r="E4" s="2">
        <v>0</v>
      </c>
      <c r="F4" s="2">
        <v>1081</v>
      </c>
      <c r="G4" s="2" t="s">
        <v>39</v>
      </c>
      <c r="H4" s="2">
        <v>4</v>
      </c>
      <c r="I4" s="2">
        <v>4</v>
      </c>
      <c r="J4" s="2">
        <v>90</v>
      </c>
      <c r="K4" s="2">
        <v>40</v>
      </c>
      <c r="L4" s="2">
        <v>95</v>
      </c>
      <c r="M4" s="2">
        <v>1</v>
      </c>
      <c r="N4" s="2">
        <v>10315</v>
      </c>
      <c r="O4" s="2">
        <v>3</v>
      </c>
      <c r="P4" s="2">
        <v>92</v>
      </c>
      <c r="Q4" s="2">
        <v>44</v>
      </c>
      <c r="R4" s="2">
        <v>1</v>
      </c>
      <c r="S4" s="2">
        <v>14</v>
      </c>
      <c r="T4" s="2">
        <v>1014</v>
      </c>
      <c r="U4" s="2">
        <v>1</v>
      </c>
      <c r="V4" s="3">
        <v>17000000</v>
      </c>
      <c r="W4" s="3">
        <v>17000000</v>
      </c>
      <c r="X4" s="3">
        <v>17000000</v>
      </c>
      <c r="Y4" s="2">
        <v>0</v>
      </c>
      <c r="Z4" s="2" t="s">
        <v>149</v>
      </c>
      <c r="AA4" s="2" t="s">
        <v>40</v>
      </c>
      <c r="AB4" s="6" t="s">
        <v>36</v>
      </c>
      <c r="AC4" s="9" t="s">
        <v>37</v>
      </c>
      <c r="AD4" s="6">
        <v>9288176</v>
      </c>
      <c r="AE4" s="9" t="s">
        <v>41</v>
      </c>
      <c r="AF4" s="8" t="str">
        <f t="shared" si="1"/>
        <v>Acordo Judicial Vale - Anexo IV - 9288176 - Reestruturação logística, tecnológica e de cobrança da dívida ativa da AGE</v>
      </c>
    </row>
    <row r="5" spans="1:32" ht="48" x14ac:dyDescent="0.2">
      <c r="A5" s="2">
        <v>2024</v>
      </c>
      <c r="B5" s="2">
        <v>1100</v>
      </c>
      <c r="C5" s="2" t="s">
        <v>42</v>
      </c>
      <c r="D5" s="2">
        <v>3</v>
      </c>
      <c r="E5" s="2">
        <v>0</v>
      </c>
      <c r="F5" s="2">
        <v>1101</v>
      </c>
      <c r="G5" s="2" t="s">
        <v>42</v>
      </c>
      <c r="H5" s="2">
        <v>3</v>
      </c>
      <c r="I5" s="2">
        <v>3</v>
      </c>
      <c r="J5" s="2">
        <v>90</v>
      </c>
      <c r="K5" s="2">
        <v>40</v>
      </c>
      <c r="L5" s="2">
        <v>95</v>
      </c>
      <c r="M5" s="2">
        <v>1</v>
      </c>
      <c r="N5" s="2">
        <v>10360</v>
      </c>
      <c r="O5" s="2">
        <v>14</v>
      </c>
      <c r="P5" s="2">
        <v>126</v>
      </c>
      <c r="Q5" s="2">
        <v>54</v>
      </c>
      <c r="R5" s="2">
        <v>1</v>
      </c>
      <c r="S5" s="2">
        <v>16</v>
      </c>
      <c r="T5" s="2">
        <v>1016</v>
      </c>
      <c r="U5" s="2">
        <v>1</v>
      </c>
      <c r="V5" s="3">
        <v>228190</v>
      </c>
      <c r="W5" s="3">
        <v>228190</v>
      </c>
      <c r="X5" s="3">
        <v>228190</v>
      </c>
      <c r="Y5" s="2">
        <v>0</v>
      </c>
      <c r="Z5" s="2" t="s">
        <v>150</v>
      </c>
      <c r="AA5" s="2" t="s">
        <v>43</v>
      </c>
      <c r="AB5" s="6" t="s">
        <v>36</v>
      </c>
      <c r="AC5" s="9" t="s">
        <v>37</v>
      </c>
      <c r="AD5" s="6">
        <v>9288143</v>
      </c>
      <c r="AE5" s="9" t="s">
        <v>44</v>
      </c>
      <c r="AF5" s="8" t="str">
        <f>CONCATENATE(AB5," - ",AC5," - ",AD5," - ",AE5)</f>
        <v>Acordo Judicial Vale - Anexo IV - 9288143 - Implantação da Ouvidoria 4.0 e Ouvidoria Móvel</v>
      </c>
    </row>
    <row r="6" spans="1:32" ht="80" x14ac:dyDescent="0.2">
      <c r="A6" s="2">
        <v>2024</v>
      </c>
      <c r="B6" s="2">
        <v>1220</v>
      </c>
      <c r="C6" s="2" t="s">
        <v>45</v>
      </c>
      <c r="D6" s="2">
        <v>3</v>
      </c>
      <c r="E6" s="2">
        <v>0</v>
      </c>
      <c r="F6" s="2">
        <v>1221</v>
      </c>
      <c r="G6" s="2" t="s">
        <v>45</v>
      </c>
      <c r="H6" s="2">
        <v>3</v>
      </c>
      <c r="I6" s="2">
        <v>3</v>
      </c>
      <c r="J6" s="2">
        <v>90</v>
      </c>
      <c r="K6" s="2">
        <v>35</v>
      </c>
      <c r="L6" s="2">
        <v>95</v>
      </c>
      <c r="M6" s="2">
        <v>1</v>
      </c>
      <c r="N6" s="2">
        <v>10848</v>
      </c>
      <c r="O6" s="2">
        <v>22</v>
      </c>
      <c r="P6" s="2">
        <v>663</v>
      </c>
      <c r="Q6" s="2">
        <v>133</v>
      </c>
      <c r="R6" s="2">
        <v>1</v>
      </c>
      <c r="S6" s="2">
        <v>77</v>
      </c>
      <c r="T6" s="2">
        <v>1077</v>
      </c>
      <c r="U6" s="2">
        <v>1</v>
      </c>
      <c r="V6" s="3">
        <v>600000</v>
      </c>
      <c r="W6" s="3">
        <v>600000</v>
      </c>
      <c r="X6" s="3">
        <v>600000</v>
      </c>
      <c r="Y6" s="2">
        <v>0</v>
      </c>
      <c r="Z6" s="2" t="s">
        <v>151</v>
      </c>
      <c r="AA6" s="2" t="s">
        <v>46</v>
      </c>
      <c r="AB6" s="6" t="s">
        <v>36</v>
      </c>
      <c r="AC6" s="7" t="s">
        <v>37</v>
      </c>
      <c r="AD6" s="6">
        <v>9288211</v>
      </c>
      <c r="AE6" s="7" t="s">
        <v>47</v>
      </c>
      <c r="AF6" s="8" t="str">
        <f>CONCATENATE(AB6," - ",AC6," - ",AD6," - ",AE6)</f>
        <v>Acordo Judicial Vale - Anexo IV - 9288211 - Elaboração de instrumentos de gestão para desenvolvimento de mineração sustentável e competitiva - Elaboração do Plano Estadual da Mineração de Minas Gerais</v>
      </c>
    </row>
    <row r="7" spans="1:32" ht="64" x14ac:dyDescent="0.2">
      <c r="A7" s="2">
        <v>2024</v>
      </c>
      <c r="B7" s="2">
        <v>1220</v>
      </c>
      <c r="C7" s="2" t="s">
        <v>45</v>
      </c>
      <c r="D7" s="2">
        <v>3</v>
      </c>
      <c r="E7" s="2">
        <v>0</v>
      </c>
      <c r="F7" s="2">
        <v>1221</v>
      </c>
      <c r="G7" s="2" t="s">
        <v>45</v>
      </c>
      <c r="H7" s="2">
        <v>3</v>
      </c>
      <c r="I7" s="2">
        <v>3</v>
      </c>
      <c r="J7" s="2">
        <v>90</v>
      </c>
      <c r="K7" s="2">
        <v>35</v>
      </c>
      <c r="L7" s="2">
        <v>95</v>
      </c>
      <c r="M7" s="2">
        <v>1</v>
      </c>
      <c r="N7" s="2">
        <v>10848</v>
      </c>
      <c r="O7" s="2">
        <v>22</v>
      </c>
      <c r="P7" s="2">
        <v>663</v>
      </c>
      <c r="Q7" s="2">
        <v>133</v>
      </c>
      <c r="R7" s="2">
        <v>1</v>
      </c>
      <c r="S7" s="2">
        <v>77</v>
      </c>
      <c r="T7" s="2">
        <v>1077</v>
      </c>
      <c r="U7" s="2">
        <v>1</v>
      </c>
      <c r="V7" s="3">
        <v>500000</v>
      </c>
      <c r="W7" s="3">
        <v>500000</v>
      </c>
      <c r="X7" s="3">
        <v>500000</v>
      </c>
      <c r="Y7" s="2">
        <v>0</v>
      </c>
      <c r="Z7" s="2" t="s">
        <v>152</v>
      </c>
      <c r="AA7" s="2" t="s">
        <v>46</v>
      </c>
      <c r="AB7" s="6" t="s">
        <v>36</v>
      </c>
      <c r="AC7" s="7" t="s">
        <v>37</v>
      </c>
      <c r="AD7" s="6">
        <v>9288210</v>
      </c>
      <c r="AE7" s="7" t="s">
        <v>48</v>
      </c>
      <c r="AF7" s="8" t="str">
        <f>CONCATENATE(AB7," - ",AC7," - ",AD7," - ",AE7)</f>
        <v>Acordo Judicial Vale - Anexo IV - 9288210 - Elaboração de instrumentos de gestão para desenvolvimento de mineração sustentável e competitiva - Avaliação Ambiental Estratégica</v>
      </c>
    </row>
    <row r="8" spans="1:32" ht="64" x14ac:dyDescent="0.2">
      <c r="A8" s="2">
        <v>2024</v>
      </c>
      <c r="B8" s="2">
        <v>1230</v>
      </c>
      <c r="C8" s="2" t="s">
        <v>49</v>
      </c>
      <c r="D8" s="2">
        <v>3</v>
      </c>
      <c r="E8" s="2">
        <v>0</v>
      </c>
      <c r="F8" s="2">
        <v>2371</v>
      </c>
      <c r="G8" s="2" t="s">
        <v>50</v>
      </c>
      <c r="H8" s="2">
        <v>4</v>
      </c>
      <c r="I8" s="2">
        <v>4</v>
      </c>
      <c r="J8" s="2">
        <v>90</v>
      </c>
      <c r="K8" s="2">
        <v>52</v>
      </c>
      <c r="L8" s="2">
        <v>95</v>
      </c>
      <c r="M8" s="2">
        <v>1</v>
      </c>
      <c r="N8" s="2">
        <v>10509</v>
      </c>
      <c r="O8" s="2">
        <v>20</v>
      </c>
      <c r="P8" s="2">
        <v>609</v>
      </c>
      <c r="Q8" s="2">
        <v>78</v>
      </c>
      <c r="R8" s="2">
        <v>4</v>
      </c>
      <c r="S8" s="2">
        <v>228</v>
      </c>
      <c r="T8" s="2">
        <v>4228</v>
      </c>
      <c r="U8" s="2">
        <v>1</v>
      </c>
      <c r="V8" s="3">
        <v>1200000</v>
      </c>
      <c r="W8" s="3">
        <v>1200000</v>
      </c>
      <c r="X8" s="3">
        <v>1200000</v>
      </c>
      <c r="Y8" s="2">
        <v>1</v>
      </c>
      <c r="Z8" s="2" t="s">
        <v>153</v>
      </c>
      <c r="AA8" s="2" t="s">
        <v>51</v>
      </c>
      <c r="AB8" s="6" t="s">
        <v>36</v>
      </c>
      <c r="AC8" s="9" t="s">
        <v>37</v>
      </c>
      <c r="AD8" s="6">
        <v>9288193</v>
      </c>
      <c r="AE8" s="9" t="s">
        <v>52</v>
      </c>
      <c r="AF8" s="8" t="str">
        <f t="shared" ref="AF8:AF13" si="2">CONCATENATE(AB8," - ",AC8," - ",AD8," - ",AE8)</f>
        <v>Acordo Judicial Vale - Anexo IV - 9288193 - Implantação do Sistema de Gestão de Processos (BPMS) no Instituto Mineiro de Agropecuária (IMA)</v>
      </c>
    </row>
    <row r="9" spans="1:32" ht="48" x14ac:dyDescent="0.2">
      <c r="A9" s="2">
        <v>2024</v>
      </c>
      <c r="B9" s="2">
        <v>1230</v>
      </c>
      <c r="C9" s="2" t="s">
        <v>49</v>
      </c>
      <c r="D9" s="2">
        <v>3</v>
      </c>
      <c r="E9" s="2">
        <v>0</v>
      </c>
      <c r="F9" s="2">
        <v>2371</v>
      </c>
      <c r="G9" s="2" t="s">
        <v>50</v>
      </c>
      <c r="H9" s="2">
        <v>3</v>
      </c>
      <c r="I9" s="2">
        <v>1</v>
      </c>
      <c r="J9" s="2">
        <v>90</v>
      </c>
      <c r="K9" s="2">
        <v>11</v>
      </c>
      <c r="L9" s="2">
        <v>95</v>
      </c>
      <c r="M9" s="2">
        <v>1</v>
      </c>
      <c r="N9" s="2">
        <v>10521</v>
      </c>
      <c r="O9" s="2">
        <v>20</v>
      </c>
      <c r="P9" s="2">
        <v>609</v>
      </c>
      <c r="Q9" s="2">
        <v>78</v>
      </c>
      <c r="R9" s="2">
        <v>4</v>
      </c>
      <c r="S9" s="2">
        <v>238</v>
      </c>
      <c r="T9" s="2">
        <v>4238</v>
      </c>
      <c r="U9" s="2">
        <v>1</v>
      </c>
      <c r="V9" s="3">
        <v>58264</v>
      </c>
      <c r="W9" s="3">
        <v>58264</v>
      </c>
      <c r="X9" s="3">
        <v>58264</v>
      </c>
      <c r="Y9" s="2">
        <v>0</v>
      </c>
      <c r="Z9" s="2" t="s">
        <v>154</v>
      </c>
      <c r="AA9" s="2" t="s">
        <v>51</v>
      </c>
      <c r="AB9" s="6" t="s">
        <v>36</v>
      </c>
      <c r="AC9" s="7" t="s">
        <v>53</v>
      </c>
      <c r="AD9" s="6">
        <v>0</v>
      </c>
      <c r="AE9" s="7" t="s">
        <v>54</v>
      </c>
      <c r="AF9" s="8" t="str">
        <f t="shared" si="2"/>
        <v>Acordo Judicial Vale - 4.4.10 - Ressarcimentos e contratações temporárias - 0 - Contratações temporárias</v>
      </c>
    </row>
    <row r="10" spans="1:32" ht="48" x14ac:dyDescent="0.2">
      <c r="A10" s="2">
        <v>2024</v>
      </c>
      <c r="B10" s="2">
        <v>1230</v>
      </c>
      <c r="C10" s="2" t="s">
        <v>49</v>
      </c>
      <c r="D10" s="2">
        <v>3</v>
      </c>
      <c r="E10" s="2">
        <v>0</v>
      </c>
      <c r="F10" s="2">
        <v>2371</v>
      </c>
      <c r="G10" s="2" t="s">
        <v>50</v>
      </c>
      <c r="H10" s="2">
        <v>3</v>
      </c>
      <c r="I10" s="2">
        <v>1</v>
      </c>
      <c r="J10" s="2">
        <v>91</v>
      </c>
      <c r="K10" s="2">
        <v>13</v>
      </c>
      <c r="L10" s="2">
        <v>95</v>
      </c>
      <c r="M10" s="2">
        <v>1</v>
      </c>
      <c r="N10" s="2">
        <v>10521</v>
      </c>
      <c r="O10" s="2">
        <v>20</v>
      </c>
      <c r="P10" s="2">
        <v>609</v>
      </c>
      <c r="Q10" s="2">
        <v>78</v>
      </c>
      <c r="R10" s="2">
        <v>4</v>
      </c>
      <c r="S10" s="2">
        <v>238</v>
      </c>
      <c r="T10" s="2">
        <v>4238</v>
      </c>
      <c r="U10" s="2">
        <v>1</v>
      </c>
      <c r="V10" s="3">
        <v>21736</v>
      </c>
      <c r="W10" s="3">
        <v>21736</v>
      </c>
      <c r="X10" s="3">
        <v>21736</v>
      </c>
      <c r="Y10" s="2">
        <v>0</v>
      </c>
      <c r="Z10" s="2" t="s">
        <v>154</v>
      </c>
      <c r="AA10" s="2" t="s">
        <v>51</v>
      </c>
      <c r="AB10" s="6" t="s">
        <v>36</v>
      </c>
      <c r="AC10" s="7" t="s">
        <v>53</v>
      </c>
      <c r="AD10" s="6">
        <v>0</v>
      </c>
      <c r="AE10" s="7" t="s">
        <v>54</v>
      </c>
      <c r="AF10" s="8" t="str">
        <f t="shared" si="2"/>
        <v>Acordo Judicial Vale - 4.4.10 - Ressarcimentos e contratações temporárias - 0 - Contratações temporárias</v>
      </c>
    </row>
    <row r="11" spans="1:32" ht="64" x14ac:dyDescent="0.2">
      <c r="A11" s="2">
        <v>2024</v>
      </c>
      <c r="B11" s="2">
        <v>1230</v>
      </c>
      <c r="C11" s="2" t="s">
        <v>49</v>
      </c>
      <c r="D11" s="2">
        <v>3</v>
      </c>
      <c r="E11" s="2">
        <v>0</v>
      </c>
      <c r="F11" s="2">
        <v>2371</v>
      </c>
      <c r="G11" s="2" t="s">
        <v>50</v>
      </c>
      <c r="H11" s="2">
        <v>3</v>
      </c>
      <c r="I11" s="2">
        <v>3</v>
      </c>
      <c r="J11" s="2">
        <v>90</v>
      </c>
      <c r="K11" s="2">
        <v>14</v>
      </c>
      <c r="L11" s="2">
        <v>95</v>
      </c>
      <c r="M11" s="2">
        <v>1</v>
      </c>
      <c r="N11" s="2">
        <v>10521</v>
      </c>
      <c r="O11" s="2">
        <v>20</v>
      </c>
      <c r="P11" s="2">
        <v>609</v>
      </c>
      <c r="Q11" s="2">
        <v>78</v>
      </c>
      <c r="R11" s="2">
        <v>4</v>
      </c>
      <c r="S11" s="2">
        <v>238</v>
      </c>
      <c r="T11" s="2">
        <v>4238</v>
      </c>
      <c r="U11" s="2">
        <v>1</v>
      </c>
      <c r="V11" s="3">
        <v>1299000</v>
      </c>
      <c r="W11" s="3">
        <v>1299000</v>
      </c>
      <c r="X11" s="3">
        <v>1299000</v>
      </c>
      <c r="Y11" s="2">
        <v>0</v>
      </c>
      <c r="Z11" s="2" t="s">
        <v>155</v>
      </c>
      <c r="AA11" s="2" t="s">
        <v>51</v>
      </c>
      <c r="AB11" s="6" t="s">
        <v>36</v>
      </c>
      <c r="AC11" s="9" t="s">
        <v>37</v>
      </c>
      <c r="AD11" s="6">
        <v>9288194</v>
      </c>
      <c r="AE11" s="9" t="s">
        <v>55</v>
      </c>
      <c r="AF11" s="8" t="str">
        <f t="shared" si="2"/>
        <v>Acordo Judicial Vale - Anexo IV - 9288194 - Reestruturação do laboratório de química agropecuária do Instituto Mineiro de Agropecuária</v>
      </c>
    </row>
    <row r="12" spans="1:32" ht="48" x14ac:dyDescent="0.2">
      <c r="A12" s="2">
        <v>2024</v>
      </c>
      <c r="B12" s="2">
        <v>1230</v>
      </c>
      <c r="C12" s="2" t="s">
        <v>49</v>
      </c>
      <c r="D12" s="2">
        <v>3</v>
      </c>
      <c r="E12" s="2">
        <v>0</v>
      </c>
      <c r="F12" s="2">
        <v>2371</v>
      </c>
      <c r="G12" s="2" t="s">
        <v>50</v>
      </c>
      <c r="H12" s="2">
        <v>3</v>
      </c>
      <c r="I12" s="2">
        <v>3</v>
      </c>
      <c r="J12" s="2">
        <v>90</v>
      </c>
      <c r="K12" s="2">
        <v>46</v>
      </c>
      <c r="L12" s="2">
        <v>95</v>
      </c>
      <c r="M12" s="2">
        <v>7</v>
      </c>
      <c r="N12" s="2">
        <v>10521</v>
      </c>
      <c r="O12" s="2">
        <v>20</v>
      </c>
      <c r="P12" s="2">
        <v>609</v>
      </c>
      <c r="Q12" s="2">
        <v>78</v>
      </c>
      <c r="R12" s="2">
        <v>4</v>
      </c>
      <c r="S12" s="2">
        <v>238</v>
      </c>
      <c r="T12" s="2">
        <v>4238</v>
      </c>
      <c r="U12" s="2">
        <v>1</v>
      </c>
      <c r="V12" s="3">
        <v>50000</v>
      </c>
      <c r="W12" s="3">
        <v>50000</v>
      </c>
      <c r="X12" s="3">
        <v>50000</v>
      </c>
      <c r="Y12" s="2">
        <v>0</v>
      </c>
      <c r="Z12" s="2" t="s">
        <v>154</v>
      </c>
      <c r="AA12" s="2" t="s">
        <v>51</v>
      </c>
      <c r="AB12" s="6" t="s">
        <v>36</v>
      </c>
      <c r="AC12" s="7" t="s">
        <v>53</v>
      </c>
      <c r="AD12" s="6">
        <v>0</v>
      </c>
      <c r="AE12" s="7" t="s">
        <v>54</v>
      </c>
      <c r="AF12" s="8" t="str">
        <f t="shared" si="2"/>
        <v>Acordo Judicial Vale - 4.4.10 - Ressarcimentos e contratações temporárias - 0 - Contratações temporárias</v>
      </c>
    </row>
    <row r="13" spans="1:32" ht="48" x14ac:dyDescent="0.2">
      <c r="A13" s="2">
        <v>2024</v>
      </c>
      <c r="B13" s="2">
        <v>1230</v>
      </c>
      <c r="C13" s="2" t="s">
        <v>49</v>
      </c>
      <c r="D13" s="2">
        <v>3</v>
      </c>
      <c r="E13" s="2">
        <v>0</v>
      </c>
      <c r="F13" s="2">
        <v>2371</v>
      </c>
      <c r="G13" s="2" t="s">
        <v>50</v>
      </c>
      <c r="H13" s="2">
        <v>3</v>
      </c>
      <c r="I13" s="2">
        <v>3</v>
      </c>
      <c r="J13" s="2">
        <v>90</v>
      </c>
      <c r="K13" s="2">
        <v>14</v>
      </c>
      <c r="L13" s="2">
        <v>95</v>
      </c>
      <c r="M13" s="2">
        <v>1</v>
      </c>
      <c r="N13" s="2">
        <v>10534</v>
      </c>
      <c r="O13" s="2">
        <v>20</v>
      </c>
      <c r="P13" s="2">
        <v>609</v>
      </c>
      <c r="Q13" s="2">
        <v>78</v>
      </c>
      <c r="R13" s="2">
        <v>4</v>
      </c>
      <c r="S13" s="2">
        <v>252</v>
      </c>
      <c r="T13" s="2">
        <v>4252</v>
      </c>
      <c r="U13" s="2">
        <v>1</v>
      </c>
      <c r="V13" s="3">
        <v>1000</v>
      </c>
      <c r="W13" s="3">
        <v>1000</v>
      </c>
      <c r="X13" s="3">
        <v>1000</v>
      </c>
      <c r="Y13" s="2">
        <v>0</v>
      </c>
      <c r="Z13" s="2" t="s">
        <v>156</v>
      </c>
      <c r="AA13" s="2" t="s">
        <v>51</v>
      </c>
      <c r="AB13" s="6" t="s">
        <v>36</v>
      </c>
      <c r="AC13" s="9" t="s">
        <v>37</v>
      </c>
      <c r="AD13" s="6">
        <v>9288149</v>
      </c>
      <c r="AE13" s="9" t="s">
        <v>56</v>
      </c>
      <c r="AF13" s="8" t="str">
        <f t="shared" si="2"/>
        <v>Acordo Judicial Vale - Anexo IV - 9288149 - Revitalização do Parque de Exposições Bolivar de Andrade</v>
      </c>
    </row>
    <row r="14" spans="1:32" ht="48" x14ac:dyDescent="0.2">
      <c r="A14" s="2">
        <v>2024</v>
      </c>
      <c r="B14" s="2">
        <v>1250</v>
      </c>
      <c r="C14" s="2" t="s">
        <v>57</v>
      </c>
      <c r="D14" s="2">
        <v>3</v>
      </c>
      <c r="E14" s="2">
        <v>0</v>
      </c>
      <c r="F14" s="2">
        <v>1251</v>
      </c>
      <c r="G14" s="2" t="s">
        <v>57</v>
      </c>
      <c r="H14" s="2">
        <v>4</v>
      </c>
      <c r="I14" s="2">
        <v>4</v>
      </c>
      <c r="J14" s="2">
        <v>90</v>
      </c>
      <c r="K14" s="2">
        <v>52</v>
      </c>
      <c r="L14" s="2">
        <v>95</v>
      </c>
      <c r="M14" s="2">
        <v>1</v>
      </c>
      <c r="N14" s="2">
        <v>10692</v>
      </c>
      <c r="O14" s="2">
        <v>6</v>
      </c>
      <c r="P14" s="2">
        <v>181</v>
      </c>
      <c r="Q14" s="2">
        <v>137</v>
      </c>
      <c r="R14" s="2">
        <v>2</v>
      </c>
      <c r="S14" s="2">
        <v>63</v>
      </c>
      <c r="T14" s="2">
        <v>2063</v>
      </c>
      <c r="U14" s="2">
        <v>1</v>
      </c>
      <c r="V14" s="3">
        <v>1317050</v>
      </c>
      <c r="W14" s="3">
        <v>1317050</v>
      </c>
      <c r="X14" s="3">
        <v>1317050</v>
      </c>
      <c r="Y14" s="2">
        <v>0</v>
      </c>
      <c r="Z14" s="2" t="s">
        <v>157</v>
      </c>
      <c r="AA14" s="2" t="s">
        <v>59</v>
      </c>
      <c r="AB14" s="6" t="s">
        <v>36</v>
      </c>
      <c r="AC14" s="9" t="s">
        <v>37</v>
      </c>
      <c r="AD14" s="6">
        <v>9288137</v>
      </c>
      <c r="AE14" s="7" t="s">
        <v>60</v>
      </c>
      <c r="AF14" s="8" t="str">
        <f>CONCATENATE(AB14," - ",AC14," - ",AD14," - ",AE14)</f>
        <v>Acordo Judicial Vale - Anexo IV - 9288137 - Ampliação da rede de rádio digital no interior do Estado de Minas Gerais</v>
      </c>
    </row>
    <row r="15" spans="1:32" ht="48" x14ac:dyDescent="0.2">
      <c r="A15" s="2">
        <v>2024</v>
      </c>
      <c r="B15" s="2">
        <v>1250</v>
      </c>
      <c r="C15" s="2" t="s">
        <v>57</v>
      </c>
      <c r="D15" s="2">
        <v>3</v>
      </c>
      <c r="E15" s="2">
        <v>0</v>
      </c>
      <c r="F15" s="2">
        <v>1251</v>
      </c>
      <c r="G15" s="2" t="s">
        <v>57</v>
      </c>
      <c r="H15" s="2">
        <v>4</v>
      </c>
      <c r="I15" s="2">
        <v>4</v>
      </c>
      <c r="J15" s="2">
        <v>90</v>
      </c>
      <c r="K15" s="2">
        <v>52</v>
      </c>
      <c r="L15" s="2">
        <v>95</v>
      </c>
      <c r="M15" s="2">
        <v>1</v>
      </c>
      <c r="N15" s="2">
        <v>10690</v>
      </c>
      <c r="O15" s="2">
        <v>6</v>
      </c>
      <c r="P15" s="2">
        <v>181</v>
      </c>
      <c r="Q15" s="2">
        <v>137</v>
      </c>
      <c r="R15" s="2">
        <v>4</v>
      </c>
      <c r="S15" s="2">
        <v>365</v>
      </c>
      <c r="T15" s="2">
        <v>4365</v>
      </c>
      <c r="U15" s="2">
        <v>1</v>
      </c>
      <c r="V15" s="3">
        <v>1350728</v>
      </c>
      <c r="W15" s="3">
        <v>1350728</v>
      </c>
      <c r="X15" s="3">
        <v>1350728</v>
      </c>
      <c r="Y15" s="2">
        <v>0</v>
      </c>
      <c r="Z15" s="2" t="s">
        <v>158</v>
      </c>
      <c r="AA15" s="2" t="s">
        <v>59</v>
      </c>
      <c r="AB15" s="6" t="s">
        <v>36</v>
      </c>
      <c r="AC15" s="9" t="s">
        <v>37</v>
      </c>
      <c r="AD15" s="6">
        <v>9288138</v>
      </c>
      <c r="AE15" s="7" t="s">
        <v>61</v>
      </c>
      <c r="AF15" s="8" t="str">
        <f>CONCATENATE(AB15," - ",AC15," - ",AD15," - ",AE15)</f>
        <v>Acordo Judicial Vale - Anexo IV - 9288138 - Proteção policial individual e do cidadão mineiro</v>
      </c>
    </row>
    <row r="16" spans="1:32" ht="48" x14ac:dyDescent="0.2">
      <c r="A16" s="2">
        <v>2024</v>
      </c>
      <c r="B16" s="2">
        <v>1250</v>
      </c>
      <c r="C16" s="2" t="s">
        <v>57</v>
      </c>
      <c r="D16" s="2">
        <v>3</v>
      </c>
      <c r="E16" s="2">
        <v>0</v>
      </c>
      <c r="F16" s="2">
        <v>1251</v>
      </c>
      <c r="G16" s="2" t="s">
        <v>57</v>
      </c>
      <c r="H16" s="2">
        <v>4</v>
      </c>
      <c r="I16" s="2">
        <v>4</v>
      </c>
      <c r="J16" s="2">
        <v>90</v>
      </c>
      <c r="K16" s="2">
        <v>52</v>
      </c>
      <c r="L16" s="2">
        <v>95</v>
      </c>
      <c r="M16" s="2">
        <v>1</v>
      </c>
      <c r="N16" s="2">
        <v>10688</v>
      </c>
      <c r="O16" s="2">
        <v>10</v>
      </c>
      <c r="P16" s="2">
        <v>302</v>
      </c>
      <c r="Q16" s="2">
        <v>135</v>
      </c>
      <c r="R16" s="2">
        <v>2</v>
      </c>
      <c r="S16" s="2">
        <v>60</v>
      </c>
      <c r="T16" s="2">
        <v>2060</v>
      </c>
      <c r="U16" s="2">
        <v>1</v>
      </c>
      <c r="V16" s="3">
        <v>4000000</v>
      </c>
      <c r="W16" s="3">
        <v>4000000</v>
      </c>
      <c r="X16" s="3">
        <v>4000000</v>
      </c>
      <c r="Y16" s="2">
        <v>0</v>
      </c>
      <c r="Z16" s="2" t="s">
        <v>159</v>
      </c>
      <c r="AA16" s="2" t="s">
        <v>58</v>
      </c>
      <c r="AB16" s="6" t="s">
        <v>36</v>
      </c>
      <c r="AC16" s="9" t="s">
        <v>37</v>
      </c>
      <c r="AD16" s="6">
        <v>9288148</v>
      </c>
      <c r="AE16" s="7" t="s">
        <v>62</v>
      </c>
      <c r="AF16" s="8" t="str">
        <f>CONCATENATE(AB16," - ",AC16," - ",AD16," - ",AE16)</f>
        <v>Acordo Judicial Vale - Anexo IV - 9288148 - Fortalecimento do atendimento à saúde militar</v>
      </c>
    </row>
    <row r="17" spans="1:32" ht="48" x14ac:dyDescent="0.2">
      <c r="A17" s="2">
        <v>2024</v>
      </c>
      <c r="B17" s="2">
        <v>1270</v>
      </c>
      <c r="C17" s="2" t="s">
        <v>63</v>
      </c>
      <c r="D17" s="2">
        <v>3</v>
      </c>
      <c r="E17" s="2">
        <v>0</v>
      </c>
      <c r="F17" s="2">
        <v>1271</v>
      </c>
      <c r="G17" s="2" t="s">
        <v>63</v>
      </c>
      <c r="H17" s="2">
        <v>3</v>
      </c>
      <c r="I17" s="2">
        <v>1</v>
      </c>
      <c r="J17" s="2">
        <v>90</v>
      </c>
      <c r="K17" s="2">
        <v>4</v>
      </c>
      <c r="L17" s="2">
        <v>95</v>
      </c>
      <c r="M17" s="2">
        <v>1</v>
      </c>
      <c r="N17" s="2">
        <v>10642</v>
      </c>
      <c r="O17" s="2">
        <v>13</v>
      </c>
      <c r="P17" s="2">
        <v>392</v>
      </c>
      <c r="Q17" s="2">
        <v>102</v>
      </c>
      <c r="R17" s="2">
        <v>4</v>
      </c>
      <c r="S17" s="2">
        <v>332</v>
      </c>
      <c r="T17" s="2">
        <v>4332</v>
      </c>
      <c r="U17" s="2">
        <v>1</v>
      </c>
      <c r="V17" s="3">
        <v>91295</v>
      </c>
      <c r="W17" s="3">
        <v>91295</v>
      </c>
      <c r="X17" s="3">
        <v>91295</v>
      </c>
      <c r="Y17" s="2">
        <v>0</v>
      </c>
      <c r="Z17" s="2" t="s">
        <v>154</v>
      </c>
      <c r="AA17" s="2" t="s">
        <v>64</v>
      </c>
      <c r="AB17" s="6" t="s">
        <v>36</v>
      </c>
      <c r="AC17" s="7" t="s">
        <v>53</v>
      </c>
      <c r="AD17" s="6">
        <v>0</v>
      </c>
      <c r="AE17" s="7" t="s">
        <v>54</v>
      </c>
      <c r="AF17" s="8" t="str">
        <f t="shared" ref="AF17:AF18" si="3">CONCATENATE(AB17," - ",AC17," - ",AD17," - ",AE17)</f>
        <v>Acordo Judicial Vale - 4.4.10 - Ressarcimentos e contratações temporárias - 0 - Contratações temporárias</v>
      </c>
    </row>
    <row r="18" spans="1:32" ht="48" x14ac:dyDescent="0.2">
      <c r="A18" s="2">
        <v>2024</v>
      </c>
      <c r="B18" s="2">
        <v>1270</v>
      </c>
      <c r="C18" s="2" t="s">
        <v>63</v>
      </c>
      <c r="D18" s="2">
        <v>3</v>
      </c>
      <c r="E18" s="2">
        <v>0</v>
      </c>
      <c r="F18" s="2">
        <v>1271</v>
      </c>
      <c r="G18" s="2" t="s">
        <v>63</v>
      </c>
      <c r="H18" s="2">
        <v>3</v>
      </c>
      <c r="I18" s="2">
        <v>1</v>
      </c>
      <c r="J18" s="2">
        <v>91</v>
      </c>
      <c r="K18" s="2">
        <v>4</v>
      </c>
      <c r="L18" s="2">
        <v>95</v>
      </c>
      <c r="M18" s="2">
        <v>1</v>
      </c>
      <c r="N18" s="2">
        <v>10642</v>
      </c>
      <c r="O18" s="2">
        <v>13</v>
      </c>
      <c r="P18" s="2">
        <v>392</v>
      </c>
      <c r="Q18" s="2">
        <v>102</v>
      </c>
      <c r="R18" s="2">
        <v>4</v>
      </c>
      <c r="S18" s="2">
        <v>332</v>
      </c>
      <c r="T18" s="2">
        <v>4332</v>
      </c>
      <c r="U18" s="2">
        <v>1</v>
      </c>
      <c r="V18" s="2">
        <v>182</v>
      </c>
      <c r="W18" s="2">
        <v>182</v>
      </c>
      <c r="X18" s="2">
        <v>182</v>
      </c>
      <c r="Y18" s="2">
        <v>0</v>
      </c>
      <c r="Z18" s="2" t="s">
        <v>154</v>
      </c>
      <c r="AA18" s="2" t="s">
        <v>64</v>
      </c>
      <c r="AB18" s="6" t="s">
        <v>36</v>
      </c>
      <c r="AC18" s="7" t="s">
        <v>53</v>
      </c>
      <c r="AD18" s="6">
        <v>0</v>
      </c>
      <c r="AE18" s="7" t="s">
        <v>54</v>
      </c>
      <c r="AF18" s="8" t="str">
        <f t="shared" si="3"/>
        <v>Acordo Judicial Vale - 4.4.10 - Ressarcimentos e contratações temporárias - 0 - Contratações temporárias</v>
      </c>
    </row>
    <row r="19" spans="1:32" ht="48" x14ac:dyDescent="0.2">
      <c r="A19" s="2">
        <v>2024</v>
      </c>
      <c r="B19" s="2">
        <v>1270</v>
      </c>
      <c r="C19" s="2" t="s">
        <v>63</v>
      </c>
      <c r="D19" s="2">
        <v>3</v>
      </c>
      <c r="E19" s="2">
        <v>0</v>
      </c>
      <c r="F19" s="2">
        <v>1271</v>
      </c>
      <c r="G19" s="2" t="s">
        <v>63</v>
      </c>
      <c r="H19" s="2">
        <v>3</v>
      </c>
      <c r="I19" s="2">
        <v>3</v>
      </c>
      <c r="J19" s="2">
        <v>90</v>
      </c>
      <c r="K19" s="2">
        <v>46</v>
      </c>
      <c r="L19" s="2">
        <v>95</v>
      </c>
      <c r="M19" s="2">
        <v>7</v>
      </c>
      <c r="N19" s="2">
        <v>10642</v>
      </c>
      <c r="O19" s="2">
        <v>13</v>
      </c>
      <c r="P19" s="2">
        <v>392</v>
      </c>
      <c r="Q19" s="2">
        <v>102</v>
      </c>
      <c r="R19" s="2">
        <v>4</v>
      </c>
      <c r="S19" s="2">
        <v>332</v>
      </c>
      <c r="T19" s="2">
        <v>4332</v>
      </c>
      <c r="U19" s="2">
        <v>1</v>
      </c>
      <c r="V19" s="3">
        <v>76096</v>
      </c>
      <c r="W19" s="3">
        <v>76096</v>
      </c>
      <c r="X19" s="3">
        <v>76096</v>
      </c>
      <c r="Y19" s="2">
        <v>0</v>
      </c>
      <c r="Z19" s="2" t="s">
        <v>154</v>
      </c>
      <c r="AA19" s="2" t="s">
        <v>64</v>
      </c>
      <c r="AB19" s="6" t="s">
        <v>36</v>
      </c>
      <c r="AC19" s="7" t="s">
        <v>53</v>
      </c>
      <c r="AD19" s="6">
        <v>0</v>
      </c>
      <c r="AE19" s="7" t="s">
        <v>54</v>
      </c>
      <c r="AF19" s="8" t="str">
        <f t="shared" ref="AF19:AF20" si="4">CONCATENATE(AB19," - ",AC19," - ",AD19," - ",AE19)</f>
        <v>Acordo Judicial Vale - 4.4.10 - Ressarcimentos e contratações temporárias - 0 - Contratações temporárias</v>
      </c>
    </row>
    <row r="20" spans="1:32" ht="48" x14ac:dyDescent="0.2">
      <c r="A20" s="2">
        <v>2024</v>
      </c>
      <c r="B20" s="2">
        <v>1270</v>
      </c>
      <c r="C20" s="2" t="s">
        <v>63</v>
      </c>
      <c r="D20" s="2">
        <v>3</v>
      </c>
      <c r="E20" s="2">
        <v>0</v>
      </c>
      <c r="F20" s="2">
        <v>1271</v>
      </c>
      <c r="G20" s="2" t="s">
        <v>63</v>
      </c>
      <c r="H20" s="2">
        <v>3</v>
      </c>
      <c r="I20" s="2">
        <v>3</v>
      </c>
      <c r="J20" s="2">
        <v>90</v>
      </c>
      <c r="K20" s="2">
        <v>49</v>
      </c>
      <c r="L20" s="2">
        <v>95</v>
      </c>
      <c r="M20" s="2">
        <v>7</v>
      </c>
      <c r="N20" s="2">
        <v>10642</v>
      </c>
      <c r="O20" s="2">
        <v>13</v>
      </c>
      <c r="P20" s="2">
        <v>392</v>
      </c>
      <c r="Q20" s="2">
        <v>102</v>
      </c>
      <c r="R20" s="2">
        <v>4</v>
      </c>
      <c r="S20" s="2">
        <v>332</v>
      </c>
      <c r="T20" s="2">
        <v>4332</v>
      </c>
      <c r="U20" s="2">
        <v>1</v>
      </c>
      <c r="V20" s="3">
        <v>4005</v>
      </c>
      <c r="W20" s="3">
        <v>4005</v>
      </c>
      <c r="X20" s="3">
        <v>4005</v>
      </c>
      <c r="Y20" s="2">
        <v>0</v>
      </c>
      <c r="Z20" s="2" t="s">
        <v>154</v>
      </c>
      <c r="AA20" s="2" t="s">
        <v>64</v>
      </c>
      <c r="AB20" s="6" t="s">
        <v>36</v>
      </c>
      <c r="AC20" s="7" t="s">
        <v>53</v>
      </c>
      <c r="AD20" s="6">
        <v>0</v>
      </c>
      <c r="AE20" s="7" t="s">
        <v>54</v>
      </c>
      <c r="AF20" s="8" t="str">
        <f t="shared" si="4"/>
        <v>Acordo Judicial Vale - 4.4.10 - Ressarcimentos e contratações temporárias - 0 - Contratações temporárias</v>
      </c>
    </row>
    <row r="21" spans="1:32" ht="48" x14ac:dyDescent="0.2">
      <c r="A21" s="2">
        <v>2024</v>
      </c>
      <c r="B21" s="2">
        <v>1270</v>
      </c>
      <c r="C21" s="2" t="s">
        <v>63</v>
      </c>
      <c r="D21" s="2">
        <v>3</v>
      </c>
      <c r="E21" s="2">
        <v>0</v>
      </c>
      <c r="F21" s="2">
        <v>1271</v>
      </c>
      <c r="G21" s="2" t="s">
        <v>63</v>
      </c>
      <c r="H21" s="2">
        <v>3</v>
      </c>
      <c r="I21" s="2">
        <v>3</v>
      </c>
      <c r="J21" s="2">
        <v>90</v>
      </c>
      <c r="K21" s="2">
        <v>39</v>
      </c>
      <c r="L21" s="2">
        <v>95</v>
      </c>
      <c r="M21" s="2">
        <v>1</v>
      </c>
      <c r="N21" s="2">
        <v>10634</v>
      </c>
      <c r="O21" s="2">
        <v>23</v>
      </c>
      <c r="P21" s="2">
        <v>695</v>
      </c>
      <c r="Q21" s="2">
        <v>100</v>
      </c>
      <c r="R21" s="2">
        <v>4</v>
      </c>
      <c r="S21" s="2">
        <v>324</v>
      </c>
      <c r="T21" s="2">
        <v>4324</v>
      </c>
      <c r="U21" s="2">
        <v>1</v>
      </c>
      <c r="V21" s="3">
        <v>1187500</v>
      </c>
      <c r="W21" s="3">
        <v>1187500</v>
      </c>
      <c r="X21" s="3">
        <v>1187500</v>
      </c>
      <c r="Y21" s="2">
        <v>0</v>
      </c>
      <c r="Z21" s="2" t="s">
        <v>160</v>
      </c>
      <c r="AA21" s="2" t="s">
        <v>65</v>
      </c>
      <c r="AB21" s="6" t="s">
        <v>36</v>
      </c>
      <c r="AC21" s="9" t="s">
        <v>37</v>
      </c>
      <c r="AD21" s="6">
        <v>9288152</v>
      </c>
      <c r="AE21" s="9" t="s">
        <v>66</v>
      </c>
      <c r="AF21" s="8" t="str">
        <f>CONCATENATE(AB21," - ",AC21," - ",AD21," - ",AE21)</f>
        <v>Acordo Judicial Vale - Anexo IV - 9288152 - Fortalecimento da competitividade turística de Minas Gerais</v>
      </c>
    </row>
    <row r="22" spans="1:32" ht="48" x14ac:dyDescent="0.2">
      <c r="A22" s="2">
        <v>2024</v>
      </c>
      <c r="B22" s="2">
        <v>1270</v>
      </c>
      <c r="C22" s="2" t="s">
        <v>63</v>
      </c>
      <c r="D22" s="2">
        <v>3</v>
      </c>
      <c r="E22" s="2">
        <v>0</v>
      </c>
      <c r="F22" s="2">
        <v>1271</v>
      </c>
      <c r="G22" s="2" t="s">
        <v>63</v>
      </c>
      <c r="H22" s="2">
        <v>3</v>
      </c>
      <c r="I22" s="2">
        <v>3</v>
      </c>
      <c r="J22" s="2">
        <v>90</v>
      </c>
      <c r="K22" s="2">
        <v>39</v>
      </c>
      <c r="L22" s="2">
        <v>95</v>
      </c>
      <c r="M22" s="2">
        <v>1</v>
      </c>
      <c r="N22" s="2">
        <v>10640</v>
      </c>
      <c r="O22" s="2">
        <v>23</v>
      </c>
      <c r="P22" s="2">
        <v>695</v>
      </c>
      <c r="Q22" s="2">
        <v>100</v>
      </c>
      <c r="R22" s="2">
        <v>4</v>
      </c>
      <c r="S22" s="2">
        <v>330</v>
      </c>
      <c r="T22" s="2">
        <v>4330</v>
      </c>
      <c r="U22" s="2">
        <v>1</v>
      </c>
      <c r="V22" s="3">
        <v>2000000</v>
      </c>
      <c r="W22" s="3">
        <v>2000000</v>
      </c>
      <c r="X22" s="3">
        <v>2000000</v>
      </c>
      <c r="Y22" s="2">
        <v>0</v>
      </c>
      <c r="Z22" s="2" t="s">
        <v>161</v>
      </c>
      <c r="AA22" s="2" t="s">
        <v>65</v>
      </c>
      <c r="AB22" s="6" t="s">
        <v>36</v>
      </c>
      <c r="AC22" s="9" t="s">
        <v>37</v>
      </c>
      <c r="AD22" s="6">
        <v>9288153</v>
      </c>
      <c r="AE22" s="9" t="s">
        <v>67</v>
      </c>
      <c r="AF22" s="8" t="str">
        <f>CONCATENATE(AB22," - ",AC22," - ",AD22," - ",AE22)</f>
        <v>Acordo Judicial Vale - Anexo IV - 9288153 - Pesquisas, Tendências e Monitoramento da Cultura e do Turismo</v>
      </c>
    </row>
    <row r="23" spans="1:32" ht="48" x14ac:dyDescent="0.2">
      <c r="A23" s="2">
        <v>2024</v>
      </c>
      <c r="B23" s="2">
        <v>1270</v>
      </c>
      <c r="C23" s="2" t="s">
        <v>63</v>
      </c>
      <c r="D23" s="2">
        <v>3</v>
      </c>
      <c r="E23" s="2">
        <v>0</v>
      </c>
      <c r="F23" s="2">
        <v>1271</v>
      </c>
      <c r="G23" s="2" t="s">
        <v>63</v>
      </c>
      <c r="H23" s="2">
        <v>3</v>
      </c>
      <c r="I23" s="2">
        <v>3</v>
      </c>
      <c r="J23" s="2">
        <v>90</v>
      </c>
      <c r="K23" s="2">
        <v>39</v>
      </c>
      <c r="L23" s="2">
        <v>95</v>
      </c>
      <c r="M23" s="2">
        <v>1</v>
      </c>
      <c r="N23" s="2">
        <v>10640</v>
      </c>
      <c r="O23" s="2">
        <v>23</v>
      </c>
      <c r="P23" s="2">
        <v>695</v>
      </c>
      <c r="Q23" s="2">
        <v>100</v>
      </c>
      <c r="R23" s="2">
        <v>4</v>
      </c>
      <c r="S23" s="2">
        <v>330</v>
      </c>
      <c r="T23" s="2">
        <v>4330</v>
      </c>
      <c r="U23" s="2">
        <v>1</v>
      </c>
      <c r="V23" s="3">
        <v>35000</v>
      </c>
      <c r="W23" s="3">
        <v>35000</v>
      </c>
      <c r="X23" s="3">
        <v>35000</v>
      </c>
      <c r="Y23" s="2">
        <v>0</v>
      </c>
      <c r="Z23" s="2" t="s">
        <v>162</v>
      </c>
      <c r="AA23" s="2" t="s">
        <v>65</v>
      </c>
      <c r="AB23" s="6" t="s">
        <v>36</v>
      </c>
      <c r="AC23" s="9" t="s">
        <v>37</v>
      </c>
      <c r="AD23" s="6">
        <v>9288154</v>
      </c>
      <c r="AE23" s="9" t="s">
        <v>68</v>
      </c>
      <c r="AF23" s="8" t="str">
        <f>CONCATENATE(AB23," - ",AC23," - ",AD23," - ",AE23)</f>
        <v>Acordo Judicial Vale - Anexo IV - 9288154 - Plano de Desenvolvimento Integrado do Turismo em Minas Gerais</v>
      </c>
    </row>
    <row r="24" spans="1:32" ht="48" x14ac:dyDescent="0.2">
      <c r="A24" s="2">
        <v>2024</v>
      </c>
      <c r="B24" s="2">
        <v>1270</v>
      </c>
      <c r="C24" s="2" t="s">
        <v>63</v>
      </c>
      <c r="D24" s="2">
        <v>3</v>
      </c>
      <c r="E24" s="2">
        <v>0</v>
      </c>
      <c r="F24" s="2">
        <v>2201</v>
      </c>
      <c r="G24" s="2" t="s">
        <v>69</v>
      </c>
      <c r="H24" s="2">
        <v>3</v>
      </c>
      <c r="I24" s="2">
        <v>1</v>
      </c>
      <c r="J24" s="2">
        <v>90</v>
      </c>
      <c r="K24" s="2">
        <v>4</v>
      </c>
      <c r="L24" s="2">
        <v>95</v>
      </c>
      <c r="M24" s="2">
        <v>1</v>
      </c>
      <c r="N24" s="2">
        <v>9270</v>
      </c>
      <c r="O24" s="2">
        <v>4</v>
      </c>
      <c r="P24" s="2">
        <v>122</v>
      </c>
      <c r="Q24" s="2">
        <v>705</v>
      </c>
      <c r="R24" s="2">
        <v>2</v>
      </c>
      <c r="S24" s="2">
        <v>500</v>
      </c>
      <c r="T24" s="2">
        <v>2500</v>
      </c>
      <c r="U24" s="2">
        <v>1</v>
      </c>
      <c r="V24" s="3">
        <v>57741</v>
      </c>
      <c r="W24" s="3">
        <v>57741</v>
      </c>
      <c r="X24" s="3">
        <v>57741</v>
      </c>
      <c r="Y24" s="2">
        <v>0</v>
      </c>
      <c r="Z24" s="2" t="s">
        <v>154</v>
      </c>
      <c r="AA24" s="2" t="s">
        <v>32</v>
      </c>
      <c r="AB24" s="6" t="s">
        <v>36</v>
      </c>
      <c r="AC24" s="7" t="s">
        <v>53</v>
      </c>
      <c r="AD24" s="6">
        <v>0</v>
      </c>
      <c r="AE24" s="7" t="s">
        <v>54</v>
      </c>
      <c r="AF24" s="8" t="str">
        <f>CONCATENATE(AB24," - ",AC24," - ",AD24," - ",AE24)</f>
        <v>Acordo Judicial Vale - 4.4.10 - Ressarcimentos e contratações temporárias - 0 - Contratações temporárias</v>
      </c>
    </row>
    <row r="25" spans="1:32" ht="48" x14ac:dyDescent="0.2">
      <c r="A25" s="2">
        <v>2024</v>
      </c>
      <c r="B25" s="2">
        <v>1270</v>
      </c>
      <c r="C25" s="2" t="s">
        <v>63</v>
      </c>
      <c r="D25" s="2">
        <v>3</v>
      </c>
      <c r="E25" s="2">
        <v>0</v>
      </c>
      <c r="F25" s="2">
        <v>2201</v>
      </c>
      <c r="G25" s="2" t="s">
        <v>69</v>
      </c>
      <c r="H25" s="2">
        <v>3</v>
      </c>
      <c r="I25" s="2">
        <v>1</v>
      </c>
      <c r="J25" s="2">
        <v>91</v>
      </c>
      <c r="K25" s="2">
        <v>4</v>
      </c>
      <c r="L25" s="2">
        <v>95</v>
      </c>
      <c r="M25" s="2">
        <v>1</v>
      </c>
      <c r="N25" s="2">
        <v>9270</v>
      </c>
      <c r="O25" s="2">
        <v>4</v>
      </c>
      <c r="P25" s="2">
        <v>122</v>
      </c>
      <c r="Q25" s="2">
        <v>705</v>
      </c>
      <c r="R25" s="2">
        <v>2</v>
      </c>
      <c r="S25" s="2">
        <v>500</v>
      </c>
      <c r="T25" s="2">
        <v>2500</v>
      </c>
      <c r="U25" s="2">
        <v>1</v>
      </c>
      <c r="V25" s="3">
        <v>1138</v>
      </c>
      <c r="W25" s="3">
        <v>1138</v>
      </c>
      <c r="X25" s="3">
        <v>1138</v>
      </c>
      <c r="Y25" s="2">
        <v>0</v>
      </c>
      <c r="Z25" s="2" t="s">
        <v>154</v>
      </c>
      <c r="AA25" s="2" t="s">
        <v>32</v>
      </c>
      <c r="AB25" s="6" t="s">
        <v>36</v>
      </c>
      <c r="AC25" s="7" t="s">
        <v>53</v>
      </c>
      <c r="AD25" s="6">
        <v>0</v>
      </c>
      <c r="AE25" s="7" t="s">
        <v>54</v>
      </c>
      <c r="AF25" s="8" t="str">
        <f>CONCATENATE(AB25," - ",AC25," - ",AD25," - ",AE25)</f>
        <v>Acordo Judicial Vale - 4.4.10 - Ressarcimentos e contratações temporárias - 0 - Contratações temporárias</v>
      </c>
    </row>
    <row r="26" spans="1:32" ht="48" x14ac:dyDescent="0.2">
      <c r="A26" s="2">
        <v>2024</v>
      </c>
      <c r="B26" s="2">
        <v>1270</v>
      </c>
      <c r="C26" s="2" t="s">
        <v>63</v>
      </c>
      <c r="D26" s="2">
        <v>3</v>
      </c>
      <c r="E26" s="2">
        <v>0</v>
      </c>
      <c r="F26" s="2">
        <v>2201</v>
      </c>
      <c r="G26" s="2" t="s">
        <v>69</v>
      </c>
      <c r="H26" s="2">
        <v>3</v>
      </c>
      <c r="I26" s="2">
        <v>3</v>
      </c>
      <c r="J26" s="2">
        <v>90</v>
      </c>
      <c r="K26" s="2">
        <v>40</v>
      </c>
      <c r="L26" s="2">
        <v>95</v>
      </c>
      <c r="M26" s="2">
        <v>1</v>
      </c>
      <c r="N26" s="2">
        <v>9270</v>
      </c>
      <c r="O26" s="2">
        <v>4</v>
      </c>
      <c r="P26" s="2">
        <v>122</v>
      </c>
      <c r="Q26" s="2">
        <v>705</v>
      </c>
      <c r="R26" s="2">
        <v>2</v>
      </c>
      <c r="S26" s="2">
        <v>500</v>
      </c>
      <c r="T26" s="2">
        <v>2500</v>
      </c>
      <c r="U26" s="2">
        <v>1</v>
      </c>
      <c r="V26" s="3">
        <v>150000</v>
      </c>
      <c r="W26" s="3">
        <v>150000</v>
      </c>
      <c r="X26" s="3">
        <v>150000</v>
      </c>
      <c r="Y26" s="2">
        <v>0</v>
      </c>
      <c r="Z26" s="2" t="s">
        <v>163</v>
      </c>
      <c r="AA26" s="2" t="s">
        <v>32</v>
      </c>
      <c r="AB26" s="6" t="s">
        <v>36</v>
      </c>
      <c r="AC26" s="9" t="s">
        <v>37</v>
      </c>
      <c r="AD26" s="6">
        <v>9288141</v>
      </c>
      <c r="AE26" s="9" t="s">
        <v>70</v>
      </c>
      <c r="AF26" s="8" t="str">
        <f>CONCATENATE(AB26," - ",AC26," - ",AD26," - ",AE26)</f>
        <v>Acordo Judicial Vale - Anexo IV - 9288141 - Georreferenciamento de bens culturais protegidos</v>
      </c>
    </row>
    <row r="27" spans="1:32" ht="48" x14ac:dyDescent="0.2">
      <c r="A27" s="2">
        <v>2024</v>
      </c>
      <c r="B27" s="2">
        <v>1270</v>
      </c>
      <c r="C27" s="2" t="s">
        <v>63</v>
      </c>
      <c r="D27" s="2">
        <v>3</v>
      </c>
      <c r="E27" s="2">
        <v>0</v>
      </c>
      <c r="F27" s="2">
        <v>2201</v>
      </c>
      <c r="G27" s="2" t="s">
        <v>69</v>
      </c>
      <c r="H27" s="2">
        <v>3</v>
      </c>
      <c r="I27" s="2">
        <v>3</v>
      </c>
      <c r="J27" s="2">
        <v>90</v>
      </c>
      <c r="K27" s="2">
        <v>46</v>
      </c>
      <c r="L27" s="2">
        <v>95</v>
      </c>
      <c r="M27" s="2">
        <v>7</v>
      </c>
      <c r="N27" s="2">
        <v>9270</v>
      </c>
      <c r="O27" s="2">
        <v>4</v>
      </c>
      <c r="P27" s="2">
        <v>122</v>
      </c>
      <c r="Q27" s="2">
        <v>705</v>
      </c>
      <c r="R27" s="2">
        <v>2</v>
      </c>
      <c r="S27" s="2">
        <v>500</v>
      </c>
      <c r="T27" s="2">
        <v>2500</v>
      </c>
      <c r="U27" s="2">
        <v>1</v>
      </c>
      <c r="V27" s="3">
        <v>12867</v>
      </c>
      <c r="W27" s="3">
        <v>12867</v>
      </c>
      <c r="X27" s="3">
        <v>12867</v>
      </c>
      <c r="Y27" s="2">
        <v>0</v>
      </c>
      <c r="Z27" s="2" t="s">
        <v>164</v>
      </c>
      <c r="AA27" s="2" t="s">
        <v>32</v>
      </c>
      <c r="AB27" s="6" t="s">
        <v>36</v>
      </c>
      <c r="AC27" s="7" t="s">
        <v>53</v>
      </c>
      <c r="AD27" s="6">
        <v>9288192</v>
      </c>
      <c r="AE27" s="7" t="s">
        <v>54</v>
      </c>
      <c r="AF27" s="8" t="str">
        <f>CONCATENATE(AB27," - ",AC27," - ",AD27," - ",AE27)</f>
        <v>Acordo Judicial Vale - 4.4.10 - Ressarcimentos e contratações temporárias - 9288192 - Contratações temporárias</v>
      </c>
    </row>
    <row r="28" spans="1:32" ht="48" x14ac:dyDescent="0.2">
      <c r="A28" s="2">
        <v>2024</v>
      </c>
      <c r="B28" s="2">
        <v>1270</v>
      </c>
      <c r="C28" s="2" t="s">
        <v>63</v>
      </c>
      <c r="D28" s="2">
        <v>3</v>
      </c>
      <c r="E28" s="2">
        <v>0</v>
      </c>
      <c r="F28" s="2">
        <v>2201</v>
      </c>
      <c r="G28" s="2" t="s">
        <v>69</v>
      </c>
      <c r="H28" s="2">
        <v>3</v>
      </c>
      <c r="I28" s="2">
        <v>3</v>
      </c>
      <c r="J28" s="2">
        <v>90</v>
      </c>
      <c r="K28" s="2">
        <v>49</v>
      </c>
      <c r="L28" s="2">
        <v>95</v>
      </c>
      <c r="M28" s="2">
        <v>7</v>
      </c>
      <c r="N28" s="2">
        <v>9270</v>
      </c>
      <c r="O28" s="2">
        <v>4</v>
      </c>
      <c r="P28" s="2">
        <v>122</v>
      </c>
      <c r="Q28" s="2">
        <v>705</v>
      </c>
      <c r="R28" s="2">
        <v>2</v>
      </c>
      <c r="S28" s="2">
        <v>500</v>
      </c>
      <c r="T28" s="2">
        <v>2500</v>
      </c>
      <c r="U28" s="2">
        <v>1</v>
      </c>
      <c r="V28" s="2">
        <v>485</v>
      </c>
      <c r="W28" s="2">
        <v>485</v>
      </c>
      <c r="X28" s="2">
        <v>485</v>
      </c>
      <c r="Y28" s="2">
        <v>0</v>
      </c>
      <c r="Z28" s="2" t="s">
        <v>154</v>
      </c>
      <c r="AA28" s="2" t="s">
        <v>32</v>
      </c>
      <c r="AB28" s="6" t="s">
        <v>36</v>
      </c>
      <c r="AC28" s="7" t="s">
        <v>53</v>
      </c>
      <c r="AD28" s="6">
        <v>0</v>
      </c>
      <c r="AE28" s="7" t="s">
        <v>54</v>
      </c>
      <c r="AF28" s="8" t="str">
        <f>CONCATENATE(AB28," - ",AC28," - ",AD28," - ",AE28)</f>
        <v>Acordo Judicial Vale - 4.4.10 - Ressarcimentos e contratações temporárias - 0 - Contratações temporárias</v>
      </c>
    </row>
    <row r="29" spans="1:32" ht="48" x14ac:dyDescent="0.2">
      <c r="A29" s="2">
        <v>2024</v>
      </c>
      <c r="B29" s="2">
        <v>1300</v>
      </c>
      <c r="C29" s="2" t="s">
        <v>71</v>
      </c>
      <c r="D29" s="2">
        <v>3</v>
      </c>
      <c r="E29" s="2">
        <v>0</v>
      </c>
      <c r="F29" s="2">
        <v>1301</v>
      </c>
      <c r="G29" s="2" t="s">
        <v>72</v>
      </c>
      <c r="H29" s="2">
        <v>4</v>
      </c>
      <c r="I29" s="2">
        <v>4</v>
      </c>
      <c r="J29" s="2">
        <v>90</v>
      </c>
      <c r="K29" s="2">
        <v>61</v>
      </c>
      <c r="L29" s="2">
        <v>95</v>
      </c>
      <c r="M29" s="2">
        <v>1</v>
      </c>
      <c r="N29" s="2">
        <v>10552</v>
      </c>
      <c r="O29" s="2">
        <v>15</v>
      </c>
      <c r="P29" s="2">
        <v>451</v>
      </c>
      <c r="Q29" s="2">
        <v>99</v>
      </c>
      <c r="R29" s="2">
        <v>1</v>
      </c>
      <c r="S29" s="2">
        <v>40</v>
      </c>
      <c r="T29" s="2">
        <v>1040</v>
      </c>
      <c r="U29" s="2">
        <v>1</v>
      </c>
      <c r="V29" s="3">
        <v>30000000</v>
      </c>
      <c r="W29" s="3">
        <v>30000000</v>
      </c>
      <c r="X29" s="3">
        <v>30000000</v>
      </c>
      <c r="Y29" s="2">
        <v>0</v>
      </c>
      <c r="Z29" s="2" t="s">
        <v>165</v>
      </c>
      <c r="AA29" s="2" t="s">
        <v>75</v>
      </c>
      <c r="AB29" s="6" t="s">
        <v>36</v>
      </c>
      <c r="AC29" s="9" t="s">
        <v>37</v>
      </c>
      <c r="AD29" s="6">
        <v>9288178</v>
      </c>
      <c r="AE29" s="7" t="s">
        <v>76</v>
      </c>
      <c r="AF29" s="8" t="str">
        <f>CONCATENATE(AB29," - ",AC29," - ",AD29," - ",AE29)</f>
        <v>Acordo Judicial Vale - Anexo IV - 9288178 - Prevenção de Enchentes - Construção de Bacias de Contenção no Córrego Ferrugem</v>
      </c>
    </row>
    <row r="30" spans="1:32" ht="64" x14ac:dyDescent="0.2">
      <c r="A30" s="2">
        <v>2024</v>
      </c>
      <c r="B30" s="2">
        <v>1300</v>
      </c>
      <c r="C30" s="2" t="s">
        <v>71</v>
      </c>
      <c r="D30" s="2">
        <v>3</v>
      </c>
      <c r="E30" s="2">
        <v>0</v>
      </c>
      <c r="F30" s="2">
        <v>1301</v>
      </c>
      <c r="G30" s="2" t="s">
        <v>72</v>
      </c>
      <c r="H30" s="2">
        <v>4</v>
      </c>
      <c r="I30" s="2">
        <v>4</v>
      </c>
      <c r="J30" s="2">
        <v>90</v>
      </c>
      <c r="K30" s="2">
        <v>61</v>
      </c>
      <c r="L30" s="2">
        <v>95</v>
      </c>
      <c r="M30" s="2">
        <v>1</v>
      </c>
      <c r="N30" s="2">
        <v>10554</v>
      </c>
      <c r="O30" s="2">
        <v>15</v>
      </c>
      <c r="P30" s="2">
        <v>451</v>
      </c>
      <c r="Q30" s="2">
        <v>99</v>
      </c>
      <c r="R30" s="2">
        <v>1</v>
      </c>
      <c r="S30" s="2">
        <v>42</v>
      </c>
      <c r="T30" s="2">
        <v>1042</v>
      </c>
      <c r="U30" s="2">
        <v>1</v>
      </c>
      <c r="V30" s="3">
        <v>45000000</v>
      </c>
      <c r="W30" s="3">
        <v>45000000</v>
      </c>
      <c r="X30" s="3">
        <v>45000000</v>
      </c>
      <c r="Y30" s="2">
        <v>0</v>
      </c>
      <c r="Z30" s="2" t="s">
        <v>166</v>
      </c>
      <c r="AA30" s="2" t="s">
        <v>75</v>
      </c>
      <c r="AB30" s="6" t="s">
        <v>36</v>
      </c>
      <c r="AC30" s="9" t="s">
        <v>37</v>
      </c>
      <c r="AD30" s="6">
        <v>9288179</v>
      </c>
      <c r="AE30" s="7" t="s">
        <v>77</v>
      </c>
      <c r="AF30" s="8" t="str">
        <f>CONCATENATE(AB30," - ",AC30," - ",AD30," - ",AE30)</f>
        <v>Acordo Judicial Vale - Anexo IV - 9288179 - Prevenção de Enchentes - Desapropriação para construção de bacias de contenção no Córrego Riacho das Pedras</v>
      </c>
    </row>
    <row r="31" spans="1:32" ht="48" x14ac:dyDescent="0.2">
      <c r="A31" s="2">
        <v>2024</v>
      </c>
      <c r="B31" s="2">
        <v>1300</v>
      </c>
      <c r="C31" s="2" t="s">
        <v>71</v>
      </c>
      <c r="D31" s="2">
        <v>3</v>
      </c>
      <c r="E31" s="2">
        <v>0</v>
      </c>
      <c r="F31" s="2">
        <v>2301</v>
      </c>
      <c r="G31" s="2" t="s">
        <v>78</v>
      </c>
      <c r="H31" s="2">
        <v>4</v>
      </c>
      <c r="I31" s="2">
        <v>4</v>
      </c>
      <c r="J31" s="2">
        <v>90</v>
      </c>
      <c r="K31" s="2">
        <v>51</v>
      </c>
      <c r="L31" s="2">
        <v>95</v>
      </c>
      <c r="M31" s="2">
        <v>1</v>
      </c>
      <c r="N31" s="2">
        <v>10582</v>
      </c>
      <c r="O31" s="2">
        <v>26</v>
      </c>
      <c r="P31" s="2">
        <v>782</v>
      </c>
      <c r="Q31" s="2">
        <v>81</v>
      </c>
      <c r="R31" s="2">
        <v>4</v>
      </c>
      <c r="S31" s="2">
        <v>287</v>
      </c>
      <c r="T31" s="2">
        <v>4287</v>
      </c>
      <c r="U31" s="2">
        <v>1</v>
      </c>
      <c r="V31" s="3">
        <v>2000000</v>
      </c>
      <c r="W31" s="3">
        <v>2000000</v>
      </c>
      <c r="X31" s="3">
        <v>2000000</v>
      </c>
      <c r="Y31" s="2">
        <v>0</v>
      </c>
      <c r="Z31" s="2" t="s">
        <v>167</v>
      </c>
      <c r="AA31" s="2" t="s">
        <v>74</v>
      </c>
      <c r="AB31" s="6" t="s">
        <v>79</v>
      </c>
      <c r="AC31" s="9" t="s">
        <v>80</v>
      </c>
      <c r="AD31" s="6">
        <v>9382040</v>
      </c>
      <c r="AE31" s="7" t="s">
        <v>81</v>
      </c>
      <c r="AF31" s="8" t="str">
        <f t="shared" ref="AF31:AF35" si="5">CONCATENATE(AB31," - ",AC31," - ",AD31," - ",AE31)</f>
        <v>Agenda Integrada - Renova - Sem Anexo - 9382040 - Marliéria</v>
      </c>
    </row>
    <row r="32" spans="1:32" ht="48" x14ac:dyDescent="0.2">
      <c r="A32" s="2">
        <v>2024</v>
      </c>
      <c r="B32" s="2">
        <v>1300</v>
      </c>
      <c r="C32" s="2" t="s">
        <v>71</v>
      </c>
      <c r="D32" s="2">
        <v>3</v>
      </c>
      <c r="E32" s="2">
        <v>0</v>
      </c>
      <c r="F32" s="2">
        <v>2301</v>
      </c>
      <c r="G32" s="2" t="s">
        <v>78</v>
      </c>
      <c r="H32" s="2">
        <v>4</v>
      </c>
      <c r="I32" s="2">
        <v>4</v>
      </c>
      <c r="J32" s="2">
        <v>90</v>
      </c>
      <c r="K32" s="2">
        <v>51</v>
      </c>
      <c r="L32" s="2">
        <v>95</v>
      </c>
      <c r="M32" s="2">
        <v>1</v>
      </c>
      <c r="N32" s="2">
        <v>10583</v>
      </c>
      <c r="O32" s="2">
        <v>26</v>
      </c>
      <c r="P32" s="2">
        <v>782</v>
      </c>
      <c r="Q32" s="2">
        <v>81</v>
      </c>
      <c r="R32" s="2">
        <v>4</v>
      </c>
      <c r="S32" s="2">
        <v>288</v>
      </c>
      <c r="T32" s="2">
        <v>4288</v>
      </c>
      <c r="U32" s="2">
        <v>1</v>
      </c>
      <c r="V32" s="3">
        <v>8000000</v>
      </c>
      <c r="W32" s="3">
        <v>8000000</v>
      </c>
      <c r="X32" s="3">
        <v>8000000</v>
      </c>
      <c r="Y32" s="2">
        <v>0</v>
      </c>
      <c r="Z32" s="2" t="s">
        <v>168</v>
      </c>
      <c r="AA32" s="2" t="s">
        <v>74</v>
      </c>
      <c r="AB32" s="6" t="s">
        <v>36</v>
      </c>
      <c r="AC32" s="9" t="s">
        <v>37</v>
      </c>
      <c r="AD32" s="6">
        <v>9342884</v>
      </c>
      <c r="AE32" s="10" t="s">
        <v>82</v>
      </c>
      <c r="AF32" s="8" t="str">
        <f t="shared" si="5"/>
        <v>Acordo Judicial Vale - Anexo IV - 9342884 - Melhoria da infraestrutura dos municípios - Mobilidade regional na Bacia do Paraopeba</v>
      </c>
    </row>
    <row r="33" spans="1:32" ht="48" x14ac:dyDescent="0.2">
      <c r="A33" s="2">
        <v>2024</v>
      </c>
      <c r="B33" s="2">
        <v>1300</v>
      </c>
      <c r="C33" s="2" t="s">
        <v>71</v>
      </c>
      <c r="D33" s="2">
        <v>3</v>
      </c>
      <c r="E33" s="2">
        <v>0</v>
      </c>
      <c r="F33" s="2">
        <v>2301</v>
      </c>
      <c r="G33" s="2" t="s">
        <v>78</v>
      </c>
      <c r="H33" s="2">
        <v>4</v>
      </c>
      <c r="I33" s="2">
        <v>4</v>
      </c>
      <c r="J33" s="2">
        <v>90</v>
      </c>
      <c r="K33" s="2">
        <v>51</v>
      </c>
      <c r="L33" s="2">
        <v>95</v>
      </c>
      <c r="M33" s="2">
        <v>1</v>
      </c>
      <c r="N33" s="2">
        <v>10584</v>
      </c>
      <c r="O33" s="2">
        <v>26</v>
      </c>
      <c r="P33" s="2">
        <v>782</v>
      </c>
      <c r="Q33" s="2">
        <v>81</v>
      </c>
      <c r="R33" s="2">
        <v>4</v>
      </c>
      <c r="S33" s="2">
        <v>289</v>
      </c>
      <c r="T33" s="2">
        <v>4289</v>
      </c>
      <c r="U33" s="2">
        <v>1</v>
      </c>
      <c r="V33" s="3">
        <v>4964880.7800000058</v>
      </c>
      <c r="W33" s="3">
        <v>4964880.7800000058</v>
      </c>
      <c r="X33" s="3">
        <v>4964880.7800000058</v>
      </c>
      <c r="Y33" s="2">
        <v>0</v>
      </c>
      <c r="Z33" s="2" t="s">
        <v>169</v>
      </c>
      <c r="AA33" s="2" t="s">
        <v>74</v>
      </c>
      <c r="AB33" s="6" t="s">
        <v>36</v>
      </c>
      <c r="AC33" s="9" t="s">
        <v>37</v>
      </c>
      <c r="AD33" s="6">
        <v>9288134</v>
      </c>
      <c r="AE33" s="7" t="s">
        <v>83</v>
      </c>
      <c r="AF33" s="8" t="str">
        <f t="shared" si="5"/>
        <v>Acordo Judicial Vale - Anexo IV - 9288134 - Realização de obras rodoviárias - Caeté - Barão de Cocais e Contorno de Barão de Cocais</v>
      </c>
    </row>
    <row r="34" spans="1:32" ht="96" x14ac:dyDescent="0.2">
      <c r="A34" s="2">
        <v>2024</v>
      </c>
      <c r="B34" s="2">
        <v>1300</v>
      </c>
      <c r="C34" s="2" t="s">
        <v>71</v>
      </c>
      <c r="D34" s="2">
        <v>3</v>
      </c>
      <c r="E34" s="2">
        <v>0</v>
      </c>
      <c r="F34" s="2">
        <v>2301</v>
      </c>
      <c r="G34" s="2" t="s">
        <v>78</v>
      </c>
      <c r="H34" s="2">
        <v>4</v>
      </c>
      <c r="I34" s="2">
        <v>4</v>
      </c>
      <c r="J34" s="2">
        <v>90</v>
      </c>
      <c r="K34" s="2">
        <v>51</v>
      </c>
      <c r="L34" s="2">
        <v>95</v>
      </c>
      <c r="M34" s="2">
        <v>1</v>
      </c>
      <c r="N34" s="2">
        <v>10584</v>
      </c>
      <c r="O34" s="2">
        <v>26</v>
      </c>
      <c r="P34" s="2">
        <v>782</v>
      </c>
      <c r="Q34" s="2">
        <v>81</v>
      </c>
      <c r="R34" s="2">
        <v>4</v>
      </c>
      <c r="S34" s="2">
        <v>289</v>
      </c>
      <c r="T34" s="2">
        <v>4289</v>
      </c>
      <c r="U34" s="2">
        <v>1</v>
      </c>
      <c r="V34" s="3">
        <f>20000000-V35-V33</f>
        <v>14635119.219999995</v>
      </c>
      <c r="W34" s="3">
        <f>20000000-W35-W33</f>
        <v>14635119.219999995</v>
      </c>
      <c r="X34" s="3">
        <f>20000000-X35-X33</f>
        <v>14635119.219999995</v>
      </c>
      <c r="Y34" s="2">
        <v>0</v>
      </c>
      <c r="Z34" s="2" t="s">
        <v>170</v>
      </c>
      <c r="AA34" s="2" t="s">
        <v>74</v>
      </c>
      <c r="AB34" s="6" t="s">
        <v>36</v>
      </c>
      <c r="AC34" s="7" t="s">
        <v>84</v>
      </c>
      <c r="AD34" s="6">
        <v>9288133</v>
      </c>
      <c r="AE34" s="7" t="s">
        <v>85</v>
      </c>
      <c r="AF34" s="8" t="str">
        <f t="shared" ref="AF34" si="6">CONCATENATE(AB34," - ",AC34," - ",AD34," - ",AE34)</f>
        <v>Acordo Judicial Vale - Anexo III - 9288133 - Recuperação de rodovias pavimentadas em pior estado, conforme avaliação técnica do DER-MG/conclusão de corredor logístico estruturante, conforme critérios técnicos da SEINFRA</v>
      </c>
    </row>
    <row r="35" spans="1:32" ht="48" x14ac:dyDescent="0.2">
      <c r="A35" s="2">
        <v>2024</v>
      </c>
      <c r="B35" s="2">
        <v>1300</v>
      </c>
      <c r="C35" s="2" t="s">
        <v>71</v>
      </c>
      <c r="D35" s="2">
        <v>3</v>
      </c>
      <c r="E35" s="2">
        <v>0</v>
      </c>
      <c r="F35" s="2">
        <v>2301</v>
      </c>
      <c r="G35" s="2" t="s">
        <v>78</v>
      </c>
      <c r="H35" s="2">
        <v>4</v>
      </c>
      <c r="I35" s="2">
        <v>4</v>
      </c>
      <c r="J35" s="2">
        <v>90</v>
      </c>
      <c r="K35" s="2">
        <v>51</v>
      </c>
      <c r="L35" s="2">
        <v>95</v>
      </c>
      <c r="M35" s="2">
        <v>1</v>
      </c>
      <c r="N35" s="2">
        <v>10584</v>
      </c>
      <c r="O35" s="2">
        <v>26</v>
      </c>
      <c r="P35" s="2">
        <v>782</v>
      </c>
      <c r="Q35" s="2">
        <v>81</v>
      </c>
      <c r="R35" s="2">
        <v>4</v>
      </c>
      <c r="S35" s="2">
        <v>289</v>
      </c>
      <c r="T35" s="2">
        <v>4289</v>
      </c>
      <c r="U35" s="2">
        <v>1</v>
      </c>
      <c r="V35" s="3">
        <v>400000</v>
      </c>
      <c r="W35" s="3">
        <v>400000</v>
      </c>
      <c r="X35" s="3">
        <v>400000</v>
      </c>
      <c r="Y35" s="2">
        <v>0</v>
      </c>
      <c r="Z35" s="2" t="s">
        <v>171</v>
      </c>
      <c r="AA35" s="2" t="s">
        <v>74</v>
      </c>
      <c r="AB35" s="6" t="s">
        <v>36</v>
      </c>
      <c r="AC35" s="7" t="s">
        <v>53</v>
      </c>
      <c r="AD35" s="6">
        <v>9288191</v>
      </c>
      <c r="AE35" s="7" t="s">
        <v>86</v>
      </c>
      <c r="AF35" s="8" t="str">
        <f t="shared" si="5"/>
        <v>Acordo Judicial Vale - 4.4.10 - Ressarcimentos e contratações temporárias - 9288191 - Ressarcimentos de despesas públicas</v>
      </c>
    </row>
    <row r="36" spans="1:32" ht="80" x14ac:dyDescent="0.2">
      <c r="A36" s="2">
        <v>2024</v>
      </c>
      <c r="B36" s="2">
        <v>1300</v>
      </c>
      <c r="C36" s="2" t="s">
        <v>71</v>
      </c>
      <c r="D36" s="2">
        <v>3</v>
      </c>
      <c r="E36" s="2">
        <v>0</v>
      </c>
      <c r="F36" s="2">
        <v>2431</v>
      </c>
      <c r="G36" s="2" t="s">
        <v>87</v>
      </c>
      <c r="H36" s="2">
        <v>3</v>
      </c>
      <c r="I36" s="2">
        <v>3</v>
      </c>
      <c r="J36" s="2">
        <v>90</v>
      </c>
      <c r="K36" s="2">
        <v>35</v>
      </c>
      <c r="L36" s="2">
        <v>95</v>
      </c>
      <c r="M36" s="2">
        <v>1</v>
      </c>
      <c r="N36" s="2">
        <v>10801</v>
      </c>
      <c r="O36" s="2">
        <v>15</v>
      </c>
      <c r="P36" s="2">
        <v>127</v>
      </c>
      <c r="Q36" s="2">
        <v>77</v>
      </c>
      <c r="R36" s="2">
        <v>4</v>
      </c>
      <c r="S36" s="2">
        <v>447</v>
      </c>
      <c r="T36" s="2">
        <v>4447</v>
      </c>
      <c r="U36" s="2">
        <v>1</v>
      </c>
      <c r="V36" s="11">
        <v>700000</v>
      </c>
      <c r="W36" s="11">
        <v>700000</v>
      </c>
      <c r="X36" s="11">
        <v>700000</v>
      </c>
      <c r="Y36" s="2">
        <v>0</v>
      </c>
      <c r="Z36" s="2" t="s">
        <v>172</v>
      </c>
      <c r="AA36" s="2" t="s">
        <v>88</v>
      </c>
      <c r="AB36" s="6" t="s">
        <v>36</v>
      </c>
      <c r="AC36" s="9" t="s">
        <v>37</v>
      </c>
      <c r="AD36" s="6">
        <v>9288139</v>
      </c>
      <c r="AE36" s="7" t="s">
        <v>89</v>
      </c>
      <c r="AF36" s="8" t="str">
        <f>CONCATENATE(AB36," - ",AC36," - ",AD36," - ",AE36)</f>
        <v>Acordo Judicial Vale - Anexo IV - 9288139 - Atualização do Plano Diretor de Desenvolvimento Integrado da Região Metropolitana de Belo Horizonte - PDDI-RMBH</v>
      </c>
    </row>
    <row r="37" spans="1:32" ht="64" x14ac:dyDescent="0.2">
      <c r="A37" s="2">
        <v>2024</v>
      </c>
      <c r="B37" s="2">
        <v>1300</v>
      </c>
      <c r="C37" s="2" t="s">
        <v>71</v>
      </c>
      <c r="D37" s="2">
        <v>3</v>
      </c>
      <c r="E37" s="2">
        <v>0</v>
      </c>
      <c r="F37" s="2">
        <v>2431</v>
      </c>
      <c r="G37" s="2" t="s">
        <v>87</v>
      </c>
      <c r="H37" s="2">
        <v>3</v>
      </c>
      <c r="I37" s="2">
        <v>3</v>
      </c>
      <c r="J37" s="2">
        <v>90</v>
      </c>
      <c r="K37" s="2">
        <v>35</v>
      </c>
      <c r="L37" s="2">
        <v>95</v>
      </c>
      <c r="M37" s="2">
        <v>1</v>
      </c>
      <c r="N37" s="2">
        <v>10801</v>
      </c>
      <c r="O37" s="2">
        <v>15</v>
      </c>
      <c r="P37" s="2">
        <v>127</v>
      </c>
      <c r="Q37" s="2">
        <v>77</v>
      </c>
      <c r="R37" s="2">
        <v>4</v>
      </c>
      <c r="S37" s="2">
        <v>447</v>
      </c>
      <c r="T37" s="2">
        <v>4447</v>
      </c>
      <c r="U37" s="2">
        <v>1</v>
      </c>
      <c r="V37" s="11">
        <v>700000</v>
      </c>
      <c r="W37" s="11">
        <v>700000</v>
      </c>
      <c r="X37" s="11">
        <v>700000</v>
      </c>
      <c r="Y37" s="2">
        <v>0</v>
      </c>
      <c r="Z37" s="2" t="s">
        <v>173</v>
      </c>
      <c r="AA37" s="2" t="s">
        <v>88</v>
      </c>
      <c r="AB37" s="6" t="s">
        <v>36</v>
      </c>
      <c r="AC37" s="9" t="s">
        <v>37</v>
      </c>
      <c r="AD37" s="6">
        <v>9288185</v>
      </c>
      <c r="AE37" s="7" t="s">
        <v>90</v>
      </c>
      <c r="AF37" s="8" t="str">
        <f>CONCATENATE(AB37," - ",AC37," - ",AD37," - ",AE37)</f>
        <v>Acordo Judicial Vale - Anexo IV - 9288185 - Elaboração de Plano Metropolitano de Segurança Hídrica para a Região Metropolitana de Belo Horizonte</v>
      </c>
    </row>
    <row r="38" spans="1:32" ht="48" x14ac:dyDescent="0.2">
      <c r="A38" s="2">
        <v>2024</v>
      </c>
      <c r="B38" s="2">
        <v>1300</v>
      </c>
      <c r="C38" s="2" t="s">
        <v>71</v>
      </c>
      <c r="D38" s="2">
        <v>3</v>
      </c>
      <c r="E38" s="2">
        <v>0</v>
      </c>
      <c r="F38" s="2">
        <v>4631</v>
      </c>
      <c r="G38" s="2" t="s">
        <v>91</v>
      </c>
      <c r="H38" s="2">
        <v>4</v>
      </c>
      <c r="I38" s="2">
        <v>5</v>
      </c>
      <c r="J38" s="2">
        <v>67</v>
      </c>
      <c r="K38" s="2">
        <v>83</v>
      </c>
      <c r="L38" s="2">
        <v>95</v>
      </c>
      <c r="M38" s="2">
        <v>1</v>
      </c>
      <c r="N38" s="2">
        <v>10500</v>
      </c>
      <c r="O38" s="2">
        <v>4</v>
      </c>
      <c r="P38" s="2">
        <v>130</v>
      </c>
      <c r="Q38" s="2">
        <v>85</v>
      </c>
      <c r="R38" s="2">
        <v>4</v>
      </c>
      <c r="S38" s="2">
        <v>220</v>
      </c>
      <c r="T38" s="2">
        <v>4220</v>
      </c>
      <c r="U38" s="2">
        <v>1</v>
      </c>
      <c r="V38" s="3">
        <v>825000000</v>
      </c>
      <c r="W38" s="3">
        <v>825000000</v>
      </c>
      <c r="X38" s="3">
        <v>825000000</v>
      </c>
      <c r="Y38" s="2">
        <v>0</v>
      </c>
      <c r="Z38" s="2" t="s">
        <v>174</v>
      </c>
      <c r="AA38" s="2" t="s">
        <v>73</v>
      </c>
      <c r="AB38" s="6" t="s">
        <v>36</v>
      </c>
      <c r="AC38" s="7" t="s">
        <v>84</v>
      </c>
      <c r="AD38" s="6">
        <v>9288180</v>
      </c>
      <c r="AE38" s="9" t="s">
        <v>92</v>
      </c>
      <c r="AF38" s="8" t="str">
        <f>CONCATENATE(AB38," - ",AC38," - ",AD38," - ",AE38)</f>
        <v>Acordo Judicial Vale - Anexo III - 9288180 - Implantação do Rodoanel da Região Metropolitana de Belo Horizonte</v>
      </c>
    </row>
    <row r="39" spans="1:32" ht="64" x14ac:dyDescent="0.2">
      <c r="A39" s="2">
        <v>2024</v>
      </c>
      <c r="B39" s="2">
        <v>1320</v>
      </c>
      <c r="C39" s="2" t="s">
        <v>93</v>
      </c>
      <c r="D39" s="2">
        <v>3</v>
      </c>
      <c r="E39" s="2">
        <v>0</v>
      </c>
      <c r="F39" s="2">
        <v>2271</v>
      </c>
      <c r="G39" s="2" t="s">
        <v>94</v>
      </c>
      <c r="H39" s="2">
        <v>4</v>
      </c>
      <c r="I39" s="2">
        <v>4</v>
      </c>
      <c r="J39" s="2">
        <v>90</v>
      </c>
      <c r="K39" s="2">
        <v>39</v>
      </c>
      <c r="L39" s="2">
        <v>95</v>
      </c>
      <c r="M39" s="2">
        <v>1</v>
      </c>
      <c r="N39" s="2">
        <v>10252</v>
      </c>
      <c r="O39" s="2">
        <v>10</v>
      </c>
      <c r="P39" s="2">
        <v>302</v>
      </c>
      <c r="Q39" s="2">
        <v>19</v>
      </c>
      <c r="R39" s="2">
        <v>4</v>
      </c>
      <c r="S39" s="2">
        <v>35</v>
      </c>
      <c r="T39" s="2">
        <v>4035</v>
      </c>
      <c r="U39" s="2">
        <v>1</v>
      </c>
      <c r="V39" s="3">
        <v>5116305</v>
      </c>
      <c r="W39" s="3">
        <v>5116305</v>
      </c>
      <c r="X39" s="3">
        <v>5116305</v>
      </c>
      <c r="Y39" s="2">
        <v>0</v>
      </c>
      <c r="Z39" s="2" t="s">
        <v>175</v>
      </c>
      <c r="AA39" s="2" t="s">
        <v>95</v>
      </c>
      <c r="AB39" s="6" t="s">
        <v>36</v>
      </c>
      <c r="AC39" s="9" t="s">
        <v>37</v>
      </c>
      <c r="AD39" s="6">
        <v>9288136</v>
      </c>
      <c r="AE39" s="9" t="s">
        <v>96</v>
      </c>
      <c r="AF39" s="8" t="str">
        <f t="shared" ref="AF39:AF41" si="7">CONCATENATE(AB39," - ",AC39," - ",AD39," - ",AE39)</f>
        <v>Acordo Judicial Vale - Anexo IV - 9288136 - Reestruturação dos Hospitais da Rede FHEMIG (Hospital Infantil João Paulo II, Hospital João XXIII e Hospital Júlia Kubitschek)</v>
      </c>
    </row>
    <row r="40" spans="1:32" ht="64" x14ac:dyDescent="0.2">
      <c r="A40" s="2">
        <v>2024</v>
      </c>
      <c r="B40" s="2">
        <v>1320</v>
      </c>
      <c r="C40" s="2" t="s">
        <v>93</v>
      </c>
      <c r="D40" s="2">
        <v>3</v>
      </c>
      <c r="E40" s="2">
        <v>0</v>
      </c>
      <c r="F40" s="2">
        <v>2271</v>
      </c>
      <c r="G40" s="2" t="s">
        <v>94</v>
      </c>
      <c r="H40" s="2">
        <v>4</v>
      </c>
      <c r="I40" s="2">
        <v>4</v>
      </c>
      <c r="J40" s="2">
        <v>90</v>
      </c>
      <c r="K40" s="2">
        <v>51</v>
      </c>
      <c r="L40" s="2">
        <v>95</v>
      </c>
      <c r="M40" s="2">
        <v>1</v>
      </c>
      <c r="N40" s="2">
        <v>10252</v>
      </c>
      <c r="O40" s="2">
        <v>10</v>
      </c>
      <c r="P40" s="2">
        <v>302</v>
      </c>
      <c r="Q40" s="2">
        <v>19</v>
      </c>
      <c r="R40" s="2">
        <v>4</v>
      </c>
      <c r="S40" s="2">
        <v>35</v>
      </c>
      <c r="T40" s="2">
        <v>4035</v>
      </c>
      <c r="U40" s="2">
        <v>1</v>
      </c>
      <c r="V40" s="3">
        <v>1459920</v>
      </c>
      <c r="W40" s="3">
        <v>1459920</v>
      </c>
      <c r="X40" s="3">
        <v>1459920</v>
      </c>
      <c r="Y40" s="2">
        <v>0</v>
      </c>
      <c r="Z40" s="2" t="s">
        <v>175</v>
      </c>
      <c r="AA40" s="2" t="s">
        <v>95</v>
      </c>
      <c r="AB40" s="6" t="s">
        <v>36</v>
      </c>
      <c r="AC40" s="9" t="s">
        <v>37</v>
      </c>
      <c r="AD40" s="6">
        <v>9288136</v>
      </c>
      <c r="AE40" s="9" t="s">
        <v>96</v>
      </c>
      <c r="AF40" s="8" t="str">
        <f t="shared" si="7"/>
        <v>Acordo Judicial Vale - Anexo IV - 9288136 - Reestruturação dos Hospitais da Rede FHEMIG (Hospital Infantil João Paulo II, Hospital João XXIII e Hospital Júlia Kubitschek)</v>
      </c>
    </row>
    <row r="41" spans="1:32" ht="64" x14ac:dyDescent="0.2">
      <c r="A41" s="2">
        <v>2024</v>
      </c>
      <c r="B41" s="2">
        <v>1320</v>
      </c>
      <c r="C41" s="2" t="s">
        <v>93</v>
      </c>
      <c r="D41" s="2">
        <v>3</v>
      </c>
      <c r="E41" s="2">
        <v>0</v>
      </c>
      <c r="F41" s="2">
        <v>2271</v>
      </c>
      <c r="G41" s="2" t="s">
        <v>94</v>
      </c>
      <c r="H41" s="2">
        <v>4</v>
      </c>
      <c r="I41" s="2">
        <v>4</v>
      </c>
      <c r="J41" s="2">
        <v>90</v>
      </c>
      <c r="K41" s="2">
        <v>52</v>
      </c>
      <c r="L41" s="2">
        <v>95</v>
      </c>
      <c r="M41" s="2">
        <v>1</v>
      </c>
      <c r="N41" s="2">
        <v>10252</v>
      </c>
      <c r="O41" s="2">
        <v>10</v>
      </c>
      <c r="P41" s="2">
        <v>302</v>
      </c>
      <c r="Q41" s="2">
        <v>19</v>
      </c>
      <c r="R41" s="2">
        <v>4</v>
      </c>
      <c r="S41" s="2">
        <v>35</v>
      </c>
      <c r="T41" s="2">
        <v>4035</v>
      </c>
      <c r="U41" s="2">
        <v>1</v>
      </c>
      <c r="V41" s="3">
        <v>2500000</v>
      </c>
      <c r="W41" s="3">
        <v>2500000</v>
      </c>
      <c r="X41" s="3">
        <v>2500000</v>
      </c>
      <c r="Y41" s="2">
        <v>0</v>
      </c>
      <c r="Z41" s="2" t="s">
        <v>175</v>
      </c>
      <c r="AA41" s="2" t="s">
        <v>95</v>
      </c>
      <c r="AB41" s="6" t="s">
        <v>36</v>
      </c>
      <c r="AC41" s="9" t="s">
        <v>37</v>
      </c>
      <c r="AD41" s="6">
        <v>9288136</v>
      </c>
      <c r="AE41" s="9" t="s">
        <v>96</v>
      </c>
      <c r="AF41" s="8" t="str">
        <f t="shared" si="7"/>
        <v>Acordo Judicial Vale - Anexo IV - 9288136 - Reestruturação dos Hospitais da Rede FHEMIG (Hospital Infantil João Paulo II, Hospital João XXIII e Hospital Júlia Kubitschek)</v>
      </c>
    </row>
    <row r="42" spans="1:32" ht="64" x14ac:dyDescent="0.2">
      <c r="A42" s="2">
        <v>2024</v>
      </c>
      <c r="B42" s="2">
        <v>1320</v>
      </c>
      <c r="C42" s="2" t="s">
        <v>93</v>
      </c>
      <c r="D42" s="2">
        <v>3</v>
      </c>
      <c r="E42" s="2">
        <v>0</v>
      </c>
      <c r="F42" s="2">
        <v>2271</v>
      </c>
      <c r="G42" s="2" t="s">
        <v>94</v>
      </c>
      <c r="H42" s="2">
        <v>4</v>
      </c>
      <c r="I42" s="2">
        <v>4</v>
      </c>
      <c r="J42" s="2">
        <v>90</v>
      </c>
      <c r="K42" s="2">
        <v>39</v>
      </c>
      <c r="L42" s="2">
        <v>95</v>
      </c>
      <c r="M42" s="2">
        <v>1</v>
      </c>
      <c r="N42" s="2">
        <v>10253</v>
      </c>
      <c r="O42" s="2">
        <v>10</v>
      </c>
      <c r="P42" s="2">
        <v>302</v>
      </c>
      <c r="Q42" s="2">
        <v>19</v>
      </c>
      <c r="R42" s="2">
        <v>4</v>
      </c>
      <c r="S42" s="2">
        <v>36</v>
      </c>
      <c r="T42" s="2">
        <v>4036</v>
      </c>
      <c r="U42" s="2">
        <v>1</v>
      </c>
      <c r="V42" s="3">
        <v>1353520</v>
      </c>
      <c r="W42" s="3">
        <v>1353520</v>
      </c>
      <c r="X42" s="3">
        <v>1353520</v>
      </c>
      <c r="Y42" s="2">
        <v>0</v>
      </c>
      <c r="Z42" s="2" t="s">
        <v>175</v>
      </c>
      <c r="AA42" s="2" t="s">
        <v>95</v>
      </c>
      <c r="AB42" s="6" t="s">
        <v>36</v>
      </c>
      <c r="AC42" s="9" t="s">
        <v>37</v>
      </c>
      <c r="AD42" s="6">
        <v>9288136</v>
      </c>
      <c r="AE42" s="9" t="s">
        <v>96</v>
      </c>
      <c r="AF42" s="8" t="str">
        <f t="shared" ref="AF42:AF43" si="8">CONCATENATE(AB42," - ",AC42," - ",AD42," - ",AE42)</f>
        <v>Acordo Judicial Vale - Anexo IV - 9288136 - Reestruturação dos Hospitais da Rede FHEMIG (Hospital Infantil João Paulo II, Hospital João XXIII e Hospital Júlia Kubitschek)</v>
      </c>
    </row>
    <row r="43" spans="1:32" ht="64" x14ac:dyDescent="0.2">
      <c r="A43" s="2">
        <v>2024</v>
      </c>
      <c r="B43" s="2">
        <v>1320</v>
      </c>
      <c r="C43" s="2" t="s">
        <v>93</v>
      </c>
      <c r="D43" s="2">
        <v>3</v>
      </c>
      <c r="E43" s="2">
        <v>0</v>
      </c>
      <c r="F43" s="2">
        <v>2271</v>
      </c>
      <c r="G43" s="2" t="s">
        <v>94</v>
      </c>
      <c r="H43" s="2">
        <v>4</v>
      </c>
      <c r="I43" s="2">
        <v>4</v>
      </c>
      <c r="J43" s="2">
        <v>90</v>
      </c>
      <c r="K43" s="2">
        <v>52</v>
      </c>
      <c r="L43" s="2">
        <v>95</v>
      </c>
      <c r="M43" s="2">
        <v>1</v>
      </c>
      <c r="N43" s="2">
        <v>10253</v>
      </c>
      <c r="O43" s="2">
        <v>10</v>
      </c>
      <c r="P43" s="2">
        <v>302</v>
      </c>
      <c r="Q43" s="2">
        <v>19</v>
      </c>
      <c r="R43" s="2">
        <v>4</v>
      </c>
      <c r="S43" s="2">
        <v>36</v>
      </c>
      <c r="T43" s="2">
        <v>4036</v>
      </c>
      <c r="U43" s="2">
        <v>1</v>
      </c>
      <c r="V43" s="3">
        <v>5000000</v>
      </c>
      <c r="W43" s="3">
        <v>5000000</v>
      </c>
      <c r="X43" s="3">
        <v>5000000</v>
      </c>
      <c r="Y43" s="2">
        <v>0</v>
      </c>
      <c r="Z43" s="2" t="s">
        <v>175</v>
      </c>
      <c r="AA43" s="2" t="s">
        <v>95</v>
      </c>
      <c r="AB43" s="6" t="s">
        <v>36</v>
      </c>
      <c r="AC43" s="9" t="s">
        <v>37</v>
      </c>
      <c r="AD43" s="6">
        <v>9288136</v>
      </c>
      <c r="AE43" s="9" t="s">
        <v>96</v>
      </c>
      <c r="AF43" s="8" t="str">
        <f t="shared" si="8"/>
        <v>Acordo Judicial Vale - Anexo IV - 9288136 - Reestruturação dos Hospitais da Rede FHEMIG (Hospital Infantil João Paulo II, Hospital João XXIII e Hospital Júlia Kubitschek)</v>
      </c>
    </row>
    <row r="44" spans="1:32" ht="48" x14ac:dyDescent="0.2">
      <c r="A44" s="2">
        <v>2024</v>
      </c>
      <c r="B44" s="2">
        <v>1320</v>
      </c>
      <c r="C44" s="2" t="s">
        <v>93</v>
      </c>
      <c r="D44" s="2">
        <v>3</v>
      </c>
      <c r="E44" s="2">
        <v>0</v>
      </c>
      <c r="F44" s="2">
        <v>4291</v>
      </c>
      <c r="G44" s="2" t="s">
        <v>97</v>
      </c>
      <c r="H44" s="2">
        <v>3</v>
      </c>
      <c r="I44" s="2">
        <v>1</v>
      </c>
      <c r="J44" s="2">
        <v>90</v>
      </c>
      <c r="K44" s="2">
        <v>11</v>
      </c>
      <c r="L44" s="2">
        <v>95</v>
      </c>
      <c r="M44" s="2">
        <v>1</v>
      </c>
      <c r="N44" s="2">
        <v>10389</v>
      </c>
      <c r="O44" s="2">
        <v>10</v>
      </c>
      <c r="P44" s="2">
        <v>122</v>
      </c>
      <c r="Q44" s="2">
        <v>59</v>
      </c>
      <c r="R44" s="2">
        <v>2</v>
      </c>
      <c r="S44" s="2">
        <v>27</v>
      </c>
      <c r="T44" s="2">
        <v>2027</v>
      </c>
      <c r="U44" s="2">
        <v>1</v>
      </c>
      <c r="V44" s="3">
        <v>1544283</v>
      </c>
      <c r="W44" s="3">
        <v>1544283</v>
      </c>
      <c r="X44" s="3">
        <v>1544283</v>
      </c>
      <c r="Y44" s="2">
        <v>0</v>
      </c>
      <c r="Z44" s="2" t="s">
        <v>154</v>
      </c>
      <c r="AA44" s="2" t="s">
        <v>99</v>
      </c>
      <c r="AB44" s="6" t="s">
        <v>36</v>
      </c>
      <c r="AC44" s="7" t="s">
        <v>53</v>
      </c>
      <c r="AD44" s="6">
        <v>0</v>
      </c>
      <c r="AE44" s="7" t="s">
        <v>54</v>
      </c>
      <c r="AF44" s="8" t="str">
        <f>CONCATENATE(AB44," - ",AC44," - ",AD44," - ",AE44)</f>
        <v>Acordo Judicial Vale - 4.4.10 - Ressarcimentos e contratações temporárias - 0 - Contratações temporárias</v>
      </c>
    </row>
    <row r="45" spans="1:32" ht="48" x14ac:dyDescent="0.2">
      <c r="A45" s="2">
        <v>2024</v>
      </c>
      <c r="B45" s="2">
        <v>1320</v>
      </c>
      <c r="C45" s="2" t="s">
        <v>93</v>
      </c>
      <c r="D45" s="2">
        <v>3</v>
      </c>
      <c r="E45" s="2">
        <v>0</v>
      </c>
      <c r="F45" s="2">
        <v>4291</v>
      </c>
      <c r="G45" s="2" t="s">
        <v>97</v>
      </c>
      <c r="H45" s="2">
        <v>3</v>
      </c>
      <c r="I45" s="2">
        <v>1</v>
      </c>
      <c r="J45" s="2">
        <v>91</v>
      </c>
      <c r="K45" s="2">
        <v>13</v>
      </c>
      <c r="L45" s="2">
        <v>95</v>
      </c>
      <c r="M45" s="2">
        <v>1</v>
      </c>
      <c r="N45" s="2">
        <v>10389</v>
      </c>
      <c r="O45" s="2">
        <v>10</v>
      </c>
      <c r="P45" s="2">
        <v>122</v>
      </c>
      <c r="Q45" s="2">
        <v>59</v>
      </c>
      <c r="R45" s="2">
        <v>2</v>
      </c>
      <c r="S45" s="2">
        <v>27</v>
      </c>
      <c r="T45" s="2">
        <v>2027</v>
      </c>
      <c r="U45" s="2">
        <v>1</v>
      </c>
      <c r="V45" s="3">
        <v>367628</v>
      </c>
      <c r="W45" s="3">
        <v>367628</v>
      </c>
      <c r="X45" s="3">
        <v>367628</v>
      </c>
      <c r="Y45" s="2">
        <v>0</v>
      </c>
      <c r="Z45" s="2" t="s">
        <v>154</v>
      </c>
      <c r="AA45" s="2" t="s">
        <v>99</v>
      </c>
      <c r="AB45" s="6" t="s">
        <v>36</v>
      </c>
      <c r="AC45" s="7" t="s">
        <v>53</v>
      </c>
      <c r="AD45" s="6">
        <v>0</v>
      </c>
      <c r="AE45" s="7" t="s">
        <v>54</v>
      </c>
      <c r="AF45" s="8" t="str">
        <f>CONCATENATE(AB45," - ",AC45," - ",AD45," - ",AE45)</f>
        <v>Acordo Judicial Vale - 4.4.10 - Ressarcimentos e contratações temporárias - 0 - Contratações temporárias</v>
      </c>
    </row>
    <row r="46" spans="1:32" ht="48" x14ac:dyDescent="0.2">
      <c r="A46" s="2">
        <v>2024</v>
      </c>
      <c r="B46" s="2">
        <v>1320</v>
      </c>
      <c r="C46" s="2" t="s">
        <v>93</v>
      </c>
      <c r="D46" s="2">
        <v>3</v>
      </c>
      <c r="E46" s="2">
        <v>0</v>
      </c>
      <c r="F46" s="2">
        <v>4291</v>
      </c>
      <c r="G46" s="2" t="s">
        <v>97</v>
      </c>
      <c r="H46" s="2">
        <v>3</v>
      </c>
      <c r="I46" s="2">
        <v>3</v>
      </c>
      <c r="J46" s="2">
        <v>90</v>
      </c>
      <c r="K46" s="2">
        <v>46</v>
      </c>
      <c r="L46" s="2">
        <v>95</v>
      </c>
      <c r="M46" s="2">
        <v>7</v>
      </c>
      <c r="N46" s="2">
        <v>10389</v>
      </c>
      <c r="O46" s="2">
        <v>10</v>
      </c>
      <c r="P46" s="2">
        <v>122</v>
      </c>
      <c r="Q46" s="2">
        <v>59</v>
      </c>
      <c r="R46" s="2">
        <v>2</v>
      </c>
      <c r="S46" s="2">
        <v>27</v>
      </c>
      <c r="T46" s="2">
        <v>2027</v>
      </c>
      <c r="U46" s="2">
        <v>1</v>
      </c>
      <c r="V46" s="3">
        <v>1170299</v>
      </c>
      <c r="W46" s="3">
        <v>1170299</v>
      </c>
      <c r="X46" s="3">
        <v>1170299</v>
      </c>
      <c r="Y46" s="2">
        <v>0</v>
      </c>
      <c r="Z46" s="2" t="s">
        <v>154</v>
      </c>
      <c r="AA46" s="2" t="s">
        <v>99</v>
      </c>
      <c r="AB46" s="6" t="s">
        <v>36</v>
      </c>
      <c r="AC46" s="7" t="s">
        <v>53</v>
      </c>
      <c r="AD46" s="6">
        <v>0</v>
      </c>
      <c r="AE46" s="7" t="s">
        <v>54</v>
      </c>
      <c r="AF46" s="8" t="str">
        <f>CONCATENATE(AB46," - ",AC46," - ",AD46," - ",AE46)</f>
        <v>Acordo Judicial Vale - 4.4.10 - Ressarcimentos e contratações temporárias - 0 - Contratações temporárias</v>
      </c>
    </row>
    <row r="47" spans="1:32" ht="48" x14ac:dyDescent="0.2">
      <c r="A47" s="2">
        <v>2024</v>
      </c>
      <c r="B47" s="2">
        <v>1320</v>
      </c>
      <c r="C47" s="2" t="s">
        <v>93</v>
      </c>
      <c r="D47" s="2">
        <v>3</v>
      </c>
      <c r="E47" s="2">
        <v>0</v>
      </c>
      <c r="F47" s="2">
        <v>4291</v>
      </c>
      <c r="G47" s="2" t="s">
        <v>97</v>
      </c>
      <c r="H47" s="2">
        <v>4</v>
      </c>
      <c r="I47" s="2">
        <v>4</v>
      </c>
      <c r="J47" s="2">
        <v>90</v>
      </c>
      <c r="K47" s="2">
        <v>51</v>
      </c>
      <c r="L47" s="2">
        <v>95</v>
      </c>
      <c r="M47" s="2">
        <v>1</v>
      </c>
      <c r="N47" s="2">
        <v>10381</v>
      </c>
      <c r="O47" s="2">
        <v>10</v>
      </c>
      <c r="P47" s="2">
        <v>302</v>
      </c>
      <c r="Q47" s="2">
        <v>58</v>
      </c>
      <c r="R47" s="2">
        <v>1</v>
      </c>
      <c r="S47" s="2">
        <v>20</v>
      </c>
      <c r="T47" s="2">
        <v>1020</v>
      </c>
      <c r="U47" s="2">
        <v>1</v>
      </c>
      <c r="V47" s="3">
        <v>206051151</v>
      </c>
      <c r="W47" s="3">
        <v>206051151</v>
      </c>
      <c r="X47" s="3">
        <v>206051151</v>
      </c>
      <c r="Y47" s="2">
        <v>1</v>
      </c>
      <c r="Z47" s="2" t="s">
        <v>176</v>
      </c>
      <c r="AA47" s="2" t="s">
        <v>100</v>
      </c>
      <c r="AB47" s="6" t="s">
        <v>36</v>
      </c>
      <c r="AC47" s="9" t="s">
        <v>37</v>
      </c>
      <c r="AD47" s="6">
        <v>9288198</v>
      </c>
      <c r="AE47" s="7" t="s">
        <v>101</v>
      </c>
      <c r="AF47" s="8" t="str">
        <f t="shared" ref="AF47:AF48" si="9">CONCATENATE(AB47," - ",AC47," - ",AD47," - ",AE47)</f>
        <v>Acordo Judicial Vale - Anexo IV - 9288198 - Conclusão de obra e Equipagem de Hospitais Regionais</v>
      </c>
    </row>
    <row r="48" spans="1:32" ht="48" x14ac:dyDescent="0.2">
      <c r="A48" s="2">
        <v>2024</v>
      </c>
      <c r="B48" s="2">
        <v>1320</v>
      </c>
      <c r="C48" s="2" t="s">
        <v>93</v>
      </c>
      <c r="D48" s="2">
        <v>3</v>
      </c>
      <c r="E48" s="2">
        <v>0</v>
      </c>
      <c r="F48" s="2">
        <v>4291</v>
      </c>
      <c r="G48" s="2" t="s">
        <v>97</v>
      </c>
      <c r="H48" s="2">
        <v>4</v>
      </c>
      <c r="I48" s="2">
        <v>4</v>
      </c>
      <c r="J48" s="2">
        <v>90</v>
      </c>
      <c r="K48" s="2">
        <v>52</v>
      </c>
      <c r="L48" s="2">
        <v>95</v>
      </c>
      <c r="M48" s="2">
        <v>1</v>
      </c>
      <c r="N48" s="2">
        <v>10381</v>
      </c>
      <c r="O48" s="2">
        <v>10</v>
      </c>
      <c r="P48" s="2">
        <v>302</v>
      </c>
      <c r="Q48" s="2">
        <v>58</v>
      </c>
      <c r="R48" s="2">
        <v>1</v>
      </c>
      <c r="S48" s="2">
        <v>20</v>
      </c>
      <c r="T48" s="2">
        <v>1020</v>
      </c>
      <c r="U48" s="2">
        <v>1</v>
      </c>
      <c r="V48" s="3">
        <v>113948849</v>
      </c>
      <c r="W48" s="3">
        <v>113948849</v>
      </c>
      <c r="X48" s="3">
        <v>113948849</v>
      </c>
      <c r="Y48" s="2">
        <v>1</v>
      </c>
      <c r="Z48" s="2" t="s">
        <v>176</v>
      </c>
      <c r="AA48" s="2" t="s">
        <v>100</v>
      </c>
      <c r="AB48" s="6" t="s">
        <v>36</v>
      </c>
      <c r="AC48" s="9" t="s">
        <v>37</v>
      </c>
      <c r="AD48" s="6">
        <v>9288198</v>
      </c>
      <c r="AE48" s="7" t="s">
        <v>101</v>
      </c>
      <c r="AF48" s="8" t="str">
        <f t="shared" si="9"/>
        <v>Acordo Judicial Vale - Anexo IV - 9288198 - Conclusão de obra e Equipagem de Hospitais Regionais</v>
      </c>
    </row>
    <row r="49" spans="1:32" ht="32" x14ac:dyDescent="0.2">
      <c r="A49" s="2">
        <v>2024</v>
      </c>
      <c r="B49" s="2">
        <v>1320</v>
      </c>
      <c r="C49" s="2" t="s">
        <v>93</v>
      </c>
      <c r="D49" s="2">
        <v>3</v>
      </c>
      <c r="E49" s="2">
        <v>0</v>
      </c>
      <c r="F49" s="2">
        <v>4291</v>
      </c>
      <c r="G49" s="2" t="s">
        <v>97</v>
      </c>
      <c r="H49" s="2">
        <v>4</v>
      </c>
      <c r="I49" s="2">
        <v>4</v>
      </c>
      <c r="J49" s="2">
        <v>70</v>
      </c>
      <c r="K49" s="2">
        <v>42</v>
      </c>
      <c r="L49" s="2">
        <v>95</v>
      </c>
      <c r="M49" s="2">
        <v>1</v>
      </c>
      <c r="N49" s="2">
        <v>10399</v>
      </c>
      <c r="O49" s="2">
        <v>10</v>
      </c>
      <c r="P49" s="2">
        <v>302</v>
      </c>
      <c r="Q49" s="2">
        <v>62</v>
      </c>
      <c r="R49" s="2">
        <v>4</v>
      </c>
      <c r="S49" s="2">
        <v>136</v>
      </c>
      <c r="T49" s="2">
        <v>4136</v>
      </c>
      <c r="U49" s="2">
        <v>1</v>
      </c>
      <c r="V49" s="3">
        <v>3560000</v>
      </c>
      <c r="W49" s="3">
        <v>3560000</v>
      </c>
      <c r="X49" s="3">
        <v>3560000</v>
      </c>
      <c r="Y49" s="2">
        <v>0</v>
      </c>
      <c r="Z49" s="2" t="s">
        <v>177</v>
      </c>
      <c r="AA49" s="2" t="s">
        <v>98</v>
      </c>
      <c r="AB49" s="6" t="s">
        <v>102</v>
      </c>
      <c r="AC49" s="9" t="s">
        <v>80</v>
      </c>
      <c r="AD49" s="6">
        <v>9341041</v>
      </c>
      <c r="AE49" s="9" t="s">
        <v>103</v>
      </c>
      <c r="AF49" s="8" t="str">
        <f>CONCATENATE(AB49," - ",AC49," - ",AD49," - ",AE49)</f>
        <v>TTAC - Rio Doce - Sem Anexo - 9341041 - Samu Leste/vale do aço</v>
      </c>
    </row>
    <row r="50" spans="1:32" ht="48" x14ac:dyDescent="0.2">
      <c r="A50" s="2">
        <v>2024</v>
      </c>
      <c r="B50" s="2">
        <v>1370</v>
      </c>
      <c r="C50" s="2" t="s">
        <v>104</v>
      </c>
      <c r="D50" s="2">
        <v>3</v>
      </c>
      <c r="E50" s="2">
        <v>0</v>
      </c>
      <c r="F50" s="2">
        <v>1371</v>
      </c>
      <c r="G50" s="2" t="s">
        <v>104</v>
      </c>
      <c r="H50" s="2">
        <v>3</v>
      </c>
      <c r="I50" s="2">
        <v>1</v>
      </c>
      <c r="J50" s="2">
        <v>90</v>
      </c>
      <c r="K50" s="2">
        <v>11</v>
      </c>
      <c r="L50" s="2">
        <v>95</v>
      </c>
      <c r="M50" s="2">
        <v>1</v>
      </c>
      <c r="N50" s="2">
        <v>10263</v>
      </c>
      <c r="O50" s="2">
        <v>18</v>
      </c>
      <c r="P50" s="2">
        <v>541</v>
      </c>
      <c r="Q50" s="2">
        <v>27</v>
      </c>
      <c r="R50" s="2">
        <v>4</v>
      </c>
      <c r="S50" s="2">
        <v>46</v>
      </c>
      <c r="T50" s="2">
        <v>4046</v>
      </c>
      <c r="U50" s="2">
        <v>1</v>
      </c>
      <c r="V50" s="3">
        <v>225602</v>
      </c>
      <c r="W50" s="3">
        <v>225602</v>
      </c>
      <c r="X50" s="3">
        <v>225602</v>
      </c>
      <c r="Y50" s="2">
        <v>0</v>
      </c>
      <c r="Z50" s="2" t="s">
        <v>154</v>
      </c>
      <c r="AA50" s="2" t="s">
        <v>105</v>
      </c>
      <c r="AB50" s="6" t="s">
        <v>36</v>
      </c>
      <c r="AC50" s="7" t="s">
        <v>53</v>
      </c>
      <c r="AD50" s="6">
        <v>0</v>
      </c>
      <c r="AE50" s="7" t="s">
        <v>54</v>
      </c>
      <c r="AF50" s="8" t="str">
        <f>CONCATENATE(AB50," - ",AC50," - ",AD50," - ",AE50)</f>
        <v>Acordo Judicial Vale - 4.4.10 - Ressarcimentos e contratações temporárias - 0 - Contratações temporárias</v>
      </c>
    </row>
    <row r="51" spans="1:32" ht="48" x14ac:dyDescent="0.2">
      <c r="A51" s="2">
        <v>2024</v>
      </c>
      <c r="B51" s="2">
        <v>1370</v>
      </c>
      <c r="C51" s="2" t="s">
        <v>104</v>
      </c>
      <c r="D51" s="2">
        <v>3</v>
      </c>
      <c r="E51" s="2">
        <v>0</v>
      </c>
      <c r="F51" s="2">
        <v>1371</v>
      </c>
      <c r="G51" s="2" t="s">
        <v>104</v>
      </c>
      <c r="H51" s="2">
        <v>3</v>
      </c>
      <c r="I51" s="2">
        <v>3</v>
      </c>
      <c r="J51" s="2">
        <v>90</v>
      </c>
      <c r="K51" s="2">
        <v>46</v>
      </c>
      <c r="L51" s="2">
        <v>95</v>
      </c>
      <c r="M51" s="2">
        <v>7</v>
      </c>
      <c r="N51" s="2">
        <v>10263</v>
      </c>
      <c r="O51" s="2">
        <v>18</v>
      </c>
      <c r="P51" s="2">
        <v>541</v>
      </c>
      <c r="Q51" s="2">
        <v>27</v>
      </c>
      <c r="R51" s="2">
        <v>4</v>
      </c>
      <c r="S51" s="2">
        <v>46</v>
      </c>
      <c r="T51" s="2">
        <v>4046</v>
      </c>
      <c r="U51" s="2">
        <v>1</v>
      </c>
      <c r="V51" s="3">
        <v>103919</v>
      </c>
      <c r="W51" s="3">
        <v>103919</v>
      </c>
      <c r="X51" s="3">
        <v>103919</v>
      </c>
      <c r="Y51" s="2">
        <v>0</v>
      </c>
      <c r="Z51" s="2" t="s">
        <v>154</v>
      </c>
      <c r="AA51" s="2" t="s">
        <v>105</v>
      </c>
      <c r="AB51" s="6" t="s">
        <v>36</v>
      </c>
      <c r="AC51" s="7" t="s">
        <v>53</v>
      </c>
      <c r="AD51" s="6">
        <v>0</v>
      </c>
      <c r="AE51" s="7" t="s">
        <v>54</v>
      </c>
      <c r="AF51" s="8" t="str">
        <f>CONCATENATE(AB51," - ",AC51," - ",AD51," - ",AE51)</f>
        <v>Acordo Judicial Vale - 4.4.10 - Ressarcimentos e contratações temporárias - 0 - Contratações temporárias</v>
      </c>
    </row>
    <row r="52" spans="1:32" ht="48" x14ac:dyDescent="0.2">
      <c r="A52" s="2">
        <v>2024</v>
      </c>
      <c r="B52" s="2">
        <v>1370</v>
      </c>
      <c r="C52" s="2" t="s">
        <v>104</v>
      </c>
      <c r="D52" s="2">
        <v>3</v>
      </c>
      <c r="E52" s="2">
        <v>0</v>
      </c>
      <c r="F52" s="2">
        <v>1371</v>
      </c>
      <c r="G52" s="2" t="s">
        <v>104</v>
      </c>
      <c r="H52" s="2">
        <v>3</v>
      </c>
      <c r="I52" s="2">
        <v>3</v>
      </c>
      <c r="J52" s="2">
        <v>90</v>
      </c>
      <c r="K52" s="2">
        <v>30</v>
      </c>
      <c r="L52" s="2">
        <v>95</v>
      </c>
      <c r="M52" s="2">
        <v>1</v>
      </c>
      <c r="N52" s="2">
        <v>10255</v>
      </c>
      <c r="O52" s="2">
        <v>18</v>
      </c>
      <c r="P52" s="2">
        <v>542</v>
      </c>
      <c r="Q52" s="2">
        <v>25</v>
      </c>
      <c r="R52" s="2">
        <v>4</v>
      </c>
      <c r="S52" s="2">
        <v>38</v>
      </c>
      <c r="T52" s="2">
        <v>4038</v>
      </c>
      <c r="U52" s="2">
        <v>1</v>
      </c>
      <c r="V52" s="3">
        <v>250000</v>
      </c>
      <c r="W52" s="3">
        <v>250000</v>
      </c>
      <c r="X52" s="3">
        <v>250000</v>
      </c>
      <c r="Y52" s="2">
        <v>0</v>
      </c>
      <c r="Z52" s="2" t="s">
        <v>178</v>
      </c>
      <c r="AA52" s="2" t="s">
        <v>106</v>
      </c>
      <c r="AB52" s="6" t="s">
        <v>36</v>
      </c>
      <c r="AC52" s="9" t="s">
        <v>37</v>
      </c>
      <c r="AD52" s="6">
        <v>9288195</v>
      </c>
      <c r="AE52" s="7" t="s">
        <v>107</v>
      </c>
      <c r="AF52" s="8" t="str">
        <f>CONCATENATE(AB52," - ",AC52," - ",AD52," - ",AE52)</f>
        <v>Acordo Judicial Vale - Anexo IV - 9288195 - Fortalecimento da estrutura de fiscalização do Sistema Estadual de Meio Ambiente</v>
      </c>
    </row>
    <row r="53" spans="1:32" ht="48" x14ac:dyDescent="0.2">
      <c r="A53" s="2">
        <v>2024</v>
      </c>
      <c r="B53" s="2">
        <v>1370</v>
      </c>
      <c r="C53" s="2" t="s">
        <v>104</v>
      </c>
      <c r="D53" s="2">
        <v>3</v>
      </c>
      <c r="E53" s="2">
        <v>0</v>
      </c>
      <c r="F53" s="2">
        <v>1371</v>
      </c>
      <c r="G53" s="2" t="s">
        <v>104</v>
      </c>
      <c r="H53" s="2">
        <v>4</v>
      </c>
      <c r="I53" s="2">
        <v>4</v>
      </c>
      <c r="J53" s="2">
        <v>90</v>
      </c>
      <c r="K53" s="2">
        <v>52</v>
      </c>
      <c r="L53" s="2">
        <v>95</v>
      </c>
      <c r="M53" s="2">
        <v>1</v>
      </c>
      <c r="N53" s="2">
        <v>10255</v>
      </c>
      <c r="O53" s="2">
        <v>18</v>
      </c>
      <c r="P53" s="2">
        <v>542</v>
      </c>
      <c r="Q53" s="2">
        <v>25</v>
      </c>
      <c r="R53" s="2">
        <v>4</v>
      </c>
      <c r="S53" s="2">
        <v>38</v>
      </c>
      <c r="T53" s="2">
        <v>4038</v>
      </c>
      <c r="U53" s="2">
        <v>1</v>
      </c>
      <c r="V53" s="3">
        <v>120000</v>
      </c>
      <c r="W53" s="3">
        <v>120000</v>
      </c>
      <c r="X53" s="3">
        <v>120000</v>
      </c>
      <c r="Y53" s="2">
        <v>0</v>
      </c>
      <c r="Z53" s="2" t="s">
        <v>178</v>
      </c>
      <c r="AA53" s="2" t="s">
        <v>106</v>
      </c>
      <c r="AB53" s="6" t="s">
        <v>36</v>
      </c>
      <c r="AC53" s="9" t="s">
        <v>37</v>
      </c>
      <c r="AD53" s="6">
        <v>9288195</v>
      </c>
      <c r="AE53" s="7" t="s">
        <v>107</v>
      </c>
      <c r="AF53" s="8" t="str">
        <f>CONCATENATE(AB53," - ",AC53," - ",AD53," - ",AE53)</f>
        <v>Acordo Judicial Vale - Anexo IV - 9288195 - Fortalecimento da estrutura de fiscalização do Sistema Estadual de Meio Ambiente</v>
      </c>
    </row>
    <row r="54" spans="1:32" ht="64" x14ac:dyDescent="0.2">
      <c r="A54" s="2">
        <v>2024</v>
      </c>
      <c r="B54" s="2">
        <v>1370</v>
      </c>
      <c r="C54" s="2" t="s">
        <v>104</v>
      </c>
      <c r="D54" s="2">
        <v>3</v>
      </c>
      <c r="E54" s="2">
        <v>0</v>
      </c>
      <c r="F54" s="2">
        <v>1371</v>
      </c>
      <c r="G54" s="2" t="s">
        <v>104</v>
      </c>
      <c r="H54" s="2">
        <v>4</v>
      </c>
      <c r="I54" s="2">
        <v>4</v>
      </c>
      <c r="J54" s="2">
        <v>90</v>
      </c>
      <c r="K54" s="2">
        <v>40</v>
      </c>
      <c r="L54" s="2">
        <v>95</v>
      </c>
      <c r="M54" s="2">
        <v>1</v>
      </c>
      <c r="N54" s="2">
        <v>10140</v>
      </c>
      <c r="O54" s="2">
        <v>18</v>
      </c>
      <c r="P54" s="2">
        <v>542</v>
      </c>
      <c r="Q54" s="2">
        <v>705</v>
      </c>
      <c r="R54" s="2">
        <v>1</v>
      </c>
      <c r="S54" s="2">
        <v>74</v>
      </c>
      <c r="T54" s="2">
        <v>1074</v>
      </c>
      <c r="U54" s="2">
        <v>1</v>
      </c>
      <c r="V54" s="3">
        <v>5505517</v>
      </c>
      <c r="W54" s="3">
        <v>5505517</v>
      </c>
      <c r="X54" s="3">
        <v>5505517</v>
      </c>
      <c r="Y54" s="2">
        <v>0</v>
      </c>
      <c r="Z54" s="2" t="s">
        <v>179</v>
      </c>
      <c r="AA54" s="2" t="s">
        <v>32</v>
      </c>
      <c r="AB54" s="6" t="s">
        <v>36</v>
      </c>
      <c r="AC54" s="9" t="s">
        <v>37</v>
      </c>
      <c r="AD54" s="6">
        <v>9288213</v>
      </c>
      <c r="AE54" s="7" t="s">
        <v>108</v>
      </c>
      <c r="AF54" s="8" t="str">
        <f>CONCATENATE(AB54," - ",AC54," - ",AD54," - ",AE54)</f>
        <v>Acordo Judicial Vale - Anexo IV - 9288213 - Implantação de Fábrica de Software para construção de sistema de governança ambiental</v>
      </c>
    </row>
    <row r="55" spans="1:32" ht="48" x14ac:dyDescent="0.2">
      <c r="A55" s="2">
        <v>2024</v>
      </c>
      <c r="B55" s="2">
        <v>1370</v>
      </c>
      <c r="C55" s="2" t="s">
        <v>104</v>
      </c>
      <c r="D55" s="2">
        <v>3</v>
      </c>
      <c r="E55" s="2">
        <v>0</v>
      </c>
      <c r="F55" s="2">
        <v>2091</v>
      </c>
      <c r="G55" s="2" t="s">
        <v>109</v>
      </c>
      <c r="H55" s="2">
        <v>3</v>
      </c>
      <c r="I55" s="2">
        <v>3</v>
      </c>
      <c r="J55" s="2">
        <v>90</v>
      </c>
      <c r="K55" s="2">
        <v>35</v>
      </c>
      <c r="L55" s="2">
        <v>95</v>
      </c>
      <c r="M55" s="2">
        <v>1</v>
      </c>
      <c r="N55" s="2">
        <v>10304</v>
      </c>
      <c r="O55" s="2">
        <v>18</v>
      </c>
      <c r="P55" s="2">
        <v>541</v>
      </c>
      <c r="Q55" s="2">
        <v>40</v>
      </c>
      <c r="R55" s="2">
        <v>4</v>
      </c>
      <c r="S55" s="2">
        <v>69</v>
      </c>
      <c r="T55" s="2">
        <v>4069</v>
      </c>
      <c r="U55" s="2">
        <v>1</v>
      </c>
      <c r="V55" s="3">
        <v>300000</v>
      </c>
      <c r="W55" s="3">
        <v>300000</v>
      </c>
      <c r="X55" s="3">
        <v>300000</v>
      </c>
      <c r="Y55" s="2">
        <v>0</v>
      </c>
      <c r="Z55" s="2" t="s">
        <v>180</v>
      </c>
      <c r="AA55" s="2" t="s">
        <v>110</v>
      </c>
      <c r="AB55" s="6" t="s">
        <v>36</v>
      </c>
      <c r="AC55" s="9" t="s">
        <v>37</v>
      </c>
      <c r="AD55" s="6">
        <v>9288189</v>
      </c>
      <c r="AE55" s="9" t="s">
        <v>111</v>
      </c>
      <c r="AF55" s="8" t="str">
        <f>CONCATENATE(AB55," - ",AC55," - ",AD55," - ",AE55)</f>
        <v>Acordo Judicial Vale - Anexo IV - 9288189 - Consultoria técnica sobre a descaracterização das barragens I e II da Mundo Mineração Ltda</v>
      </c>
    </row>
    <row r="56" spans="1:32" ht="48" x14ac:dyDescent="0.2">
      <c r="A56" s="2">
        <v>2024</v>
      </c>
      <c r="B56" s="2">
        <v>1370</v>
      </c>
      <c r="C56" s="2" t="s">
        <v>104</v>
      </c>
      <c r="D56" s="2">
        <v>3</v>
      </c>
      <c r="E56" s="2">
        <v>0</v>
      </c>
      <c r="F56" s="2">
        <v>2091</v>
      </c>
      <c r="G56" s="2" t="s">
        <v>109</v>
      </c>
      <c r="H56" s="2">
        <v>3</v>
      </c>
      <c r="I56" s="2">
        <v>1</v>
      </c>
      <c r="J56" s="2">
        <v>90</v>
      </c>
      <c r="K56" s="2">
        <v>4</v>
      </c>
      <c r="L56" s="2">
        <v>95</v>
      </c>
      <c r="M56" s="2">
        <v>1</v>
      </c>
      <c r="N56" s="2">
        <v>10305</v>
      </c>
      <c r="O56" s="2">
        <v>18</v>
      </c>
      <c r="P56" s="2">
        <v>543</v>
      </c>
      <c r="Q56" s="2">
        <v>40</v>
      </c>
      <c r="R56" s="2">
        <v>4</v>
      </c>
      <c r="S56" s="2">
        <v>70</v>
      </c>
      <c r="T56" s="2">
        <v>4070</v>
      </c>
      <c r="U56" s="2">
        <v>1</v>
      </c>
      <c r="V56" s="3">
        <v>433477</v>
      </c>
      <c r="W56" s="3">
        <v>433477</v>
      </c>
      <c r="X56" s="3">
        <v>433477</v>
      </c>
      <c r="Y56" s="2">
        <v>0</v>
      </c>
      <c r="Z56" s="2" t="s">
        <v>154</v>
      </c>
      <c r="AA56" s="2" t="s">
        <v>110</v>
      </c>
      <c r="AB56" s="6" t="s">
        <v>36</v>
      </c>
      <c r="AC56" s="7" t="s">
        <v>53</v>
      </c>
      <c r="AD56" s="6">
        <v>0</v>
      </c>
      <c r="AE56" s="7" t="s">
        <v>54</v>
      </c>
      <c r="AF56" s="8" t="str">
        <f>CONCATENATE(AB56," - ",AC56," - ",AD56," - ",AE56)</f>
        <v>Acordo Judicial Vale - 4.4.10 - Ressarcimentos e contratações temporárias - 0 - Contratações temporárias</v>
      </c>
    </row>
    <row r="57" spans="1:32" ht="48" x14ac:dyDescent="0.2">
      <c r="A57" s="2">
        <v>2024</v>
      </c>
      <c r="B57" s="2">
        <v>1370</v>
      </c>
      <c r="C57" s="2" t="s">
        <v>104</v>
      </c>
      <c r="D57" s="2">
        <v>3</v>
      </c>
      <c r="E57" s="2">
        <v>0</v>
      </c>
      <c r="F57" s="2">
        <v>2091</v>
      </c>
      <c r="G57" s="2" t="s">
        <v>109</v>
      </c>
      <c r="H57" s="2">
        <v>3</v>
      </c>
      <c r="I57" s="2">
        <v>1</v>
      </c>
      <c r="J57" s="2">
        <v>91</v>
      </c>
      <c r="K57" s="2">
        <v>4</v>
      </c>
      <c r="L57" s="2">
        <v>95</v>
      </c>
      <c r="M57" s="2">
        <v>1</v>
      </c>
      <c r="N57" s="2">
        <v>10305</v>
      </c>
      <c r="O57" s="2">
        <v>18</v>
      </c>
      <c r="P57" s="2">
        <v>543</v>
      </c>
      <c r="Q57" s="2">
        <v>40</v>
      </c>
      <c r="R57" s="2">
        <v>4</v>
      </c>
      <c r="S57" s="2">
        <v>70</v>
      </c>
      <c r="T57" s="2">
        <v>4070</v>
      </c>
      <c r="U57" s="2">
        <v>1</v>
      </c>
      <c r="V57" s="3">
        <v>2781</v>
      </c>
      <c r="W57" s="3">
        <v>2781</v>
      </c>
      <c r="X57" s="3">
        <v>2781</v>
      </c>
      <c r="Y57" s="2">
        <v>0</v>
      </c>
      <c r="Z57" s="2" t="s">
        <v>154</v>
      </c>
      <c r="AA57" s="2" t="s">
        <v>110</v>
      </c>
      <c r="AB57" s="6" t="s">
        <v>36</v>
      </c>
      <c r="AC57" s="7" t="s">
        <v>53</v>
      </c>
      <c r="AD57" s="6">
        <v>0</v>
      </c>
      <c r="AE57" s="7" t="s">
        <v>54</v>
      </c>
      <c r="AF57" s="8" t="str">
        <f>CONCATENATE(AB57," - ",AC57," - ",AD57," - ",AE57)</f>
        <v>Acordo Judicial Vale - 4.4.10 - Ressarcimentos e contratações temporárias - 0 - Contratações temporárias</v>
      </c>
    </row>
    <row r="58" spans="1:32" ht="48" x14ac:dyDescent="0.2">
      <c r="A58" s="2">
        <v>2024</v>
      </c>
      <c r="B58" s="2">
        <v>1370</v>
      </c>
      <c r="C58" s="2" t="s">
        <v>104</v>
      </c>
      <c r="D58" s="2">
        <v>3</v>
      </c>
      <c r="E58" s="2">
        <v>0</v>
      </c>
      <c r="F58" s="2">
        <v>2091</v>
      </c>
      <c r="G58" s="2" t="s">
        <v>109</v>
      </c>
      <c r="H58" s="2">
        <v>3</v>
      </c>
      <c r="I58" s="2">
        <v>3</v>
      </c>
      <c r="J58" s="2">
        <v>90</v>
      </c>
      <c r="K58" s="2">
        <v>46</v>
      </c>
      <c r="L58" s="2">
        <v>95</v>
      </c>
      <c r="M58" s="2">
        <v>7</v>
      </c>
      <c r="N58" s="2">
        <v>10305</v>
      </c>
      <c r="O58" s="2">
        <v>18</v>
      </c>
      <c r="P58" s="2">
        <v>543</v>
      </c>
      <c r="Q58" s="2">
        <v>40</v>
      </c>
      <c r="R58" s="2">
        <v>4</v>
      </c>
      <c r="S58" s="2">
        <v>70</v>
      </c>
      <c r="T58" s="2">
        <v>4070</v>
      </c>
      <c r="U58" s="2">
        <v>1</v>
      </c>
      <c r="V58" s="3">
        <v>132000</v>
      </c>
      <c r="W58" s="3">
        <v>132000</v>
      </c>
      <c r="X58" s="3">
        <v>132000</v>
      </c>
      <c r="Y58" s="2">
        <v>0</v>
      </c>
      <c r="Z58" s="2" t="s">
        <v>154</v>
      </c>
      <c r="AA58" s="2" t="s">
        <v>110</v>
      </c>
      <c r="AB58" s="6" t="s">
        <v>36</v>
      </c>
      <c r="AC58" s="7" t="s">
        <v>53</v>
      </c>
      <c r="AD58" s="6">
        <v>0</v>
      </c>
      <c r="AE58" s="7" t="s">
        <v>54</v>
      </c>
      <c r="AF58" s="8" t="str">
        <f>CONCATENATE(AB58," - ",AC58," - ",AD58," - ",AE58)</f>
        <v>Acordo Judicial Vale - 4.4.10 - Ressarcimentos e contratações temporárias - 0 - Contratações temporárias</v>
      </c>
    </row>
    <row r="59" spans="1:32" ht="48" x14ac:dyDescent="0.2">
      <c r="A59" s="2">
        <v>2024</v>
      </c>
      <c r="B59" s="2">
        <v>1370</v>
      </c>
      <c r="C59" s="2" t="s">
        <v>104</v>
      </c>
      <c r="D59" s="2">
        <v>3</v>
      </c>
      <c r="E59" s="2">
        <v>0</v>
      </c>
      <c r="F59" s="2">
        <v>2101</v>
      </c>
      <c r="G59" s="2" t="s">
        <v>112</v>
      </c>
      <c r="H59" s="2">
        <v>3</v>
      </c>
      <c r="I59" s="2">
        <v>3</v>
      </c>
      <c r="J59" s="2">
        <v>90</v>
      </c>
      <c r="K59" s="2">
        <v>39</v>
      </c>
      <c r="L59" s="2">
        <v>95</v>
      </c>
      <c r="M59" s="2">
        <v>1</v>
      </c>
      <c r="N59" s="2">
        <v>10271</v>
      </c>
      <c r="O59" s="2">
        <v>18</v>
      </c>
      <c r="P59" s="2">
        <v>541</v>
      </c>
      <c r="Q59" s="2">
        <v>31</v>
      </c>
      <c r="R59" s="2">
        <v>4</v>
      </c>
      <c r="S59" s="2">
        <v>54</v>
      </c>
      <c r="T59" s="2">
        <v>4054</v>
      </c>
      <c r="U59" s="2">
        <v>1</v>
      </c>
      <c r="V59" s="3">
        <v>600000</v>
      </c>
      <c r="W59" s="3">
        <v>600000</v>
      </c>
      <c r="X59" s="3">
        <v>600000</v>
      </c>
      <c r="Y59" s="2">
        <v>0</v>
      </c>
      <c r="Z59" s="2" t="s">
        <v>181</v>
      </c>
      <c r="AA59" s="2" t="s">
        <v>113</v>
      </c>
      <c r="AB59" s="6" t="s">
        <v>36</v>
      </c>
      <c r="AC59" s="9" t="s">
        <v>37</v>
      </c>
      <c r="AD59" s="6">
        <v>9288186</v>
      </c>
      <c r="AE59" s="9" t="s">
        <v>114</v>
      </c>
      <c r="AF59" s="8" t="str">
        <f>CONCATENATE(AB59," - ",AC59," - ",AD59," - ",AE59)</f>
        <v>Acordo Judicial Vale - Anexo IV - 9288186 - Ações de Prevenção e Combate a Incêndio em Unidades de Conservação Estaduais</v>
      </c>
    </row>
    <row r="60" spans="1:32" ht="48" x14ac:dyDescent="0.2">
      <c r="A60" s="2">
        <v>2024</v>
      </c>
      <c r="B60" s="2">
        <v>1370</v>
      </c>
      <c r="C60" s="2" t="s">
        <v>104</v>
      </c>
      <c r="D60" s="2">
        <v>3</v>
      </c>
      <c r="E60" s="2">
        <v>0</v>
      </c>
      <c r="F60" s="2">
        <v>2101</v>
      </c>
      <c r="G60" s="2" t="s">
        <v>112</v>
      </c>
      <c r="H60" s="2">
        <v>3</v>
      </c>
      <c r="I60" s="2">
        <v>3</v>
      </c>
      <c r="J60" s="2">
        <v>90</v>
      </c>
      <c r="K60" s="2">
        <v>35</v>
      </c>
      <c r="L60" s="2">
        <v>95</v>
      </c>
      <c r="M60" s="2">
        <v>1</v>
      </c>
      <c r="N60" s="2">
        <v>10274</v>
      </c>
      <c r="O60" s="2">
        <v>18</v>
      </c>
      <c r="P60" s="2">
        <v>541</v>
      </c>
      <c r="Q60" s="2">
        <v>31</v>
      </c>
      <c r="R60" s="2">
        <v>4</v>
      </c>
      <c r="S60" s="2">
        <v>57</v>
      </c>
      <c r="T60" s="2">
        <v>4057</v>
      </c>
      <c r="U60" s="2">
        <v>1</v>
      </c>
      <c r="V60" s="3">
        <v>170000</v>
      </c>
      <c r="W60" s="3">
        <v>170000</v>
      </c>
      <c r="X60" s="3">
        <v>170000</v>
      </c>
      <c r="Y60" s="2">
        <v>1</v>
      </c>
      <c r="Z60" s="2" t="s">
        <v>182</v>
      </c>
      <c r="AA60" s="2" t="s">
        <v>113</v>
      </c>
      <c r="AB60" s="6" t="s">
        <v>36</v>
      </c>
      <c r="AC60" s="9" t="s">
        <v>37</v>
      </c>
      <c r="AD60" s="6">
        <v>9288187</v>
      </c>
      <c r="AE60" s="7" t="s">
        <v>115</v>
      </c>
      <c r="AF60" s="8" t="str">
        <f t="shared" ref="AF60:AF61" si="10">CONCATENATE(AB60," - ",AC60," - ",AD60," - ",AE60)</f>
        <v>Acordo Judicial Vale - Anexo IV - 9288187 - Consolidação das unidades de conservação no Estado de Minas Gerais</v>
      </c>
    </row>
    <row r="61" spans="1:32" ht="48" x14ac:dyDescent="0.2">
      <c r="A61" s="2">
        <v>2024</v>
      </c>
      <c r="B61" s="2">
        <v>1370</v>
      </c>
      <c r="C61" s="2" t="s">
        <v>104</v>
      </c>
      <c r="D61" s="2">
        <v>3</v>
      </c>
      <c r="E61" s="2">
        <v>0</v>
      </c>
      <c r="F61" s="2">
        <v>2101</v>
      </c>
      <c r="G61" s="2" t="s">
        <v>112</v>
      </c>
      <c r="H61" s="2">
        <v>3</v>
      </c>
      <c r="I61" s="2">
        <v>1</v>
      </c>
      <c r="J61" s="2">
        <v>90</v>
      </c>
      <c r="K61" s="2">
        <v>4</v>
      </c>
      <c r="L61" s="2">
        <v>95</v>
      </c>
      <c r="M61" s="2">
        <v>1</v>
      </c>
      <c r="N61" s="2">
        <v>10275</v>
      </c>
      <c r="O61" s="2">
        <v>18</v>
      </c>
      <c r="P61" s="2">
        <v>541</v>
      </c>
      <c r="Q61" s="2">
        <v>31</v>
      </c>
      <c r="R61" s="2">
        <v>4</v>
      </c>
      <c r="S61" s="2">
        <v>58</v>
      </c>
      <c r="T61" s="2">
        <v>4058</v>
      </c>
      <c r="U61" s="2">
        <v>1</v>
      </c>
      <c r="V61" s="3">
        <v>188872</v>
      </c>
      <c r="W61" s="3">
        <v>188872</v>
      </c>
      <c r="X61" s="3">
        <v>188872</v>
      </c>
      <c r="Y61" s="2">
        <v>0</v>
      </c>
      <c r="Z61" s="2" t="s">
        <v>154</v>
      </c>
      <c r="AA61" s="2" t="s">
        <v>113</v>
      </c>
      <c r="AB61" s="6" t="s">
        <v>36</v>
      </c>
      <c r="AC61" s="7" t="s">
        <v>53</v>
      </c>
      <c r="AD61" s="6">
        <v>0</v>
      </c>
      <c r="AE61" s="7" t="s">
        <v>54</v>
      </c>
      <c r="AF61" s="8" t="str">
        <f t="shared" si="10"/>
        <v>Acordo Judicial Vale - 4.4.10 - Ressarcimentos e contratações temporárias - 0 - Contratações temporárias</v>
      </c>
    </row>
    <row r="62" spans="1:32" ht="48" x14ac:dyDescent="0.2">
      <c r="A62" s="2">
        <v>2024</v>
      </c>
      <c r="B62" s="2">
        <v>1370</v>
      </c>
      <c r="C62" s="2" t="s">
        <v>104</v>
      </c>
      <c r="D62" s="2">
        <v>3</v>
      </c>
      <c r="E62" s="2">
        <v>0</v>
      </c>
      <c r="F62" s="2">
        <v>2101</v>
      </c>
      <c r="G62" s="2" t="s">
        <v>112</v>
      </c>
      <c r="H62" s="2">
        <v>3</v>
      </c>
      <c r="I62" s="2">
        <v>1</v>
      </c>
      <c r="J62" s="2">
        <v>91</v>
      </c>
      <c r="K62" s="2">
        <v>4</v>
      </c>
      <c r="L62" s="2">
        <v>95</v>
      </c>
      <c r="M62" s="2">
        <v>1</v>
      </c>
      <c r="N62" s="2">
        <v>10275</v>
      </c>
      <c r="O62" s="2">
        <v>18</v>
      </c>
      <c r="P62" s="2">
        <v>541</v>
      </c>
      <c r="Q62" s="2">
        <v>31</v>
      </c>
      <c r="R62" s="2">
        <v>4</v>
      </c>
      <c r="S62" s="2">
        <v>58</v>
      </c>
      <c r="T62" s="2">
        <v>4058</v>
      </c>
      <c r="U62" s="2">
        <v>1</v>
      </c>
      <c r="V62" s="3">
        <v>1631</v>
      </c>
      <c r="W62" s="3">
        <v>1631</v>
      </c>
      <c r="X62" s="3">
        <v>1631</v>
      </c>
      <c r="Y62" s="2">
        <v>0</v>
      </c>
      <c r="Z62" s="2" t="s">
        <v>154</v>
      </c>
      <c r="AA62" s="2" t="s">
        <v>113</v>
      </c>
      <c r="AB62" s="6" t="s">
        <v>36</v>
      </c>
      <c r="AC62" s="7" t="s">
        <v>53</v>
      </c>
      <c r="AD62" s="6">
        <v>0</v>
      </c>
      <c r="AE62" s="7" t="s">
        <v>54</v>
      </c>
      <c r="AF62" s="8" t="str">
        <f>CONCATENATE(AB62," - ",AC62," - ",AD62," - ",AE62)</f>
        <v>Acordo Judicial Vale - 4.4.10 - Ressarcimentos e contratações temporárias - 0 - Contratações temporárias</v>
      </c>
    </row>
    <row r="63" spans="1:32" ht="64" x14ac:dyDescent="0.2">
      <c r="A63" s="2">
        <v>2024</v>
      </c>
      <c r="B63" s="2">
        <v>1370</v>
      </c>
      <c r="C63" s="2" t="s">
        <v>104</v>
      </c>
      <c r="D63" s="2">
        <v>3</v>
      </c>
      <c r="E63" s="2">
        <v>0</v>
      </c>
      <c r="F63" s="2">
        <v>2101</v>
      </c>
      <c r="G63" s="2" t="s">
        <v>112</v>
      </c>
      <c r="H63" s="2">
        <v>3</v>
      </c>
      <c r="I63" s="2">
        <v>3</v>
      </c>
      <c r="J63" s="2">
        <v>50</v>
      </c>
      <c r="K63" s="2">
        <v>39</v>
      </c>
      <c r="L63" s="2">
        <v>95</v>
      </c>
      <c r="M63" s="2">
        <v>1</v>
      </c>
      <c r="N63" s="2">
        <v>10275</v>
      </c>
      <c r="O63" s="2">
        <v>18</v>
      </c>
      <c r="P63" s="2">
        <v>541</v>
      </c>
      <c r="Q63" s="2">
        <v>31</v>
      </c>
      <c r="R63" s="2">
        <v>4</v>
      </c>
      <c r="S63" s="2">
        <v>58</v>
      </c>
      <c r="T63" s="2">
        <v>4058</v>
      </c>
      <c r="U63" s="2">
        <v>1</v>
      </c>
      <c r="V63" s="3">
        <v>10262762</v>
      </c>
      <c r="W63" s="3">
        <v>10262762</v>
      </c>
      <c r="X63" s="3">
        <v>10262762</v>
      </c>
      <c r="Y63" s="2">
        <v>0</v>
      </c>
      <c r="Z63" s="2" t="s">
        <v>183</v>
      </c>
      <c r="AA63" s="2" t="s">
        <v>113</v>
      </c>
      <c r="AB63" s="6" t="s">
        <v>79</v>
      </c>
      <c r="AC63" s="9" t="s">
        <v>80</v>
      </c>
      <c r="AD63" s="6">
        <v>9313593</v>
      </c>
      <c r="AE63" s="9" t="s">
        <v>116</v>
      </c>
      <c r="AF63" s="8" t="str">
        <f>CONCATENATE(AB63," - ",AC63," - ",AD63," - ",AE63)</f>
        <v>Agenda Integrada - Renova - Sem Anexo - 9313593 - Apoio às ações de consolidação da unidade de conservação do PERD - Agenda Integrada</v>
      </c>
    </row>
    <row r="64" spans="1:32" ht="48" x14ac:dyDescent="0.2">
      <c r="A64" s="2">
        <v>2024</v>
      </c>
      <c r="B64" s="2">
        <v>1370</v>
      </c>
      <c r="C64" s="2" t="s">
        <v>104</v>
      </c>
      <c r="D64" s="2">
        <v>3</v>
      </c>
      <c r="E64" s="2">
        <v>0</v>
      </c>
      <c r="F64" s="2">
        <v>2101</v>
      </c>
      <c r="G64" s="2" t="s">
        <v>112</v>
      </c>
      <c r="H64" s="2">
        <v>3</v>
      </c>
      <c r="I64" s="2">
        <v>3</v>
      </c>
      <c r="J64" s="2">
        <v>90</v>
      </c>
      <c r="K64" s="2">
        <v>46</v>
      </c>
      <c r="L64" s="2">
        <v>95</v>
      </c>
      <c r="M64" s="2">
        <v>7</v>
      </c>
      <c r="N64" s="2">
        <v>10275</v>
      </c>
      <c r="O64" s="2">
        <v>18</v>
      </c>
      <c r="P64" s="2">
        <v>541</v>
      </c>
      <c r="Q64" s="2">
        <v>31</v>
      </c>
      <c r="R64" s="2">
        <v>4</v>
      </c>
      <c r="S64" s="2">
        <v>58</v>
      </c>
      <c r="T64" s="2">
        <v>4058</v>
      </c>
      <c r="U64" s="2">
        <v>1</v>
      </c>
      <c r="V64" s="3">
        <v>94868</v>
      </c>
      <c r="W64" s="3">
        <v>94868</v>
      </c>
      <c r="X64" s="3">
        <v>94868</v>
      </c>
      <c r="Y64" s="2">
        <v>0</v>
      </c>
      <c r="Z64" s="2" t="s">
        <v>154</v>
      </c>
      <c r="AA64" s="2" t="s">
        <v>113</v>
      </c>
      <c r="AB64" s="6" t="s">
        <v>36</v>
      </c>
      <c r="AC64" s="7" t="s">
        <v>53</v>
      </c>
      <c r="AD64" s="6">
        <v>0</v>
      </c>
      <c r="AE64" s="7" t="s">
        <v>54</v>
      </c>
      <c r="AF64" s="8" t="str">
        <f t="shared" ref="AF64:AF65" si="11">CONCATENATE(AB64," - ",AC64," - ",AD64," - ",AE64)</f>
        <v>Acordo Judicial Vale - 4.4.10 - Ressarcimentos e contratações temporárias - 0 - Contratações temporárias</v>
      </c>
    </row>
    <row r="65" spans="1:32" ht="48" x14ac:dyDescent="0.2">
      <c r="A65" s="2">
        <v>2024</v>
      </c>
      <c r="B65" s="2">
        <v>1370</v>
      </c>
      <c r="C65" s="2" t="s">
        <v>104</v>
      </c>
      <c r="D65" s="2">
        <v>3</v>
      </c>
      <c r="E65" s="2">
        <v>0</v>
      </c>
      <c r="F65" s="2">
        <v>2101</v>
      </c>
      <c r="G65" s="2" t="s">
        <v>112</v>
      </c>
      <c r="H65" s="2">
        <v>3</v>
      </c>
      <c r="I65" s="2">
        <v>3</v>
      </c>
      <c r="J65" s="2">
        <v>90</v>
      </c>
      <c r="K65" s="2">
        <v>49</v>
      </c>
      <c r="L65" s="2">
        <v>95</v>
      </c>
      <c r="M65" s="2">
        <v>7</v>
      </c>
      <c r="N65" s="2">
        <v>10275</v>
      </c>
      <c r="O65" s="2">
        <v>18</v>
      </c>
      <c r="P65" s="2">
        <v>541</v>
      </c>
      <c r="Q65" s="2">
        <v>31</v>
      </c>
      <c r="R65" s="2">
        <v>4</v>
      </c>
      <c r="S65" s="2">
        <v>58</v>
      </c>
      <c r="T65" s="2">
        <v>4058</v>
      </c>
      <c r="U65" s="2">
        <v>1</v>
      </c>
      <c r="V65" s="3">
        <v>2633</v>
      </c>
      <c r="W65" s="3">
        <v>2633</v>
      </c>
      <c r="X65" s="3">
        <v>2633</v>
      </c>
      <c r="Y65" s="2">
        <v>0</v>
      </c>
      <c r="Z65" s="2" t="s">
        <v>154</v>
      </c>
      <c r="AA65" s="2" t="s">
        <v>113</v>
      </c>
      <c r="AB65" s="6" t="s">
        <v>36</v>
      </c>
      <c r="AC65" s="7" t="s">
        <v>53</v>
      </c>
      <c r="AD65" s="6">
        <v>0</v>
      </c>
      <c r="AE65" s="7" t="s">
        <v>54</v>
      </c>
      <c r="AF65" s="8" t="str">
        <f t="shared" si="11"/>
        <v>Acordo Judicial Vale - 4.4.10 - Ressarcimentos e contratações temporárias - 0 - Contratações temporárias</v>
      </c>
    </row>
    <row r="66" spans="1:32" ht="64" x14ac:dyDescent="0.2">
      <c r="A66" s="2">
        <v>2024</v>
      </c>
      <c r="B66" s="2">
        <v>1370</v>
      </c>
      <c r="C66" s="2" t="s">
        <v>104</v>
      </c>
      <c r="D66" s="2">
        <v>3</v>
      </c>
      <c r="E66" s="2">
        <v>0</v>
      </c>
      <c r="F66" s="2">
        <v>2101</v>
      </c>
      <c r="G66" s="2" t="s">
        <v>112</v>
      </c>
      <c r="H66" s="2">
        <v>4</v>
      </c>
      <c r="I66" s="2">
        <v>4</v>
      </c>
      <c r="J66" s="2">
        <v>90</v>
      </c>
      <c r="K66" s="2">
        <v>51</v>
      </c>
      <c r="L66" s="2">
        <v>95</v>
      </c>
      <c r="M66" s="2">
        <v>1</v>
      </c>
      <c r="N66" s="2">
        <v>10275</v>
      </c>
      <c r="O66" s="2">
        <v>18</v>
      </c>
      <c r="P66" s="2">
        <v>541</v>
      </c>
      <c r="Q66" s="2">
        <v>31</v>
      </c>
      <c r="R66" s="2">
        <v>4</v>
      </c>
      <c r="S66" s="2">
        <v>58</v>
      </c>
      <c r="T66" s="2">
        <v>4058</v>
      </c>
      <c r="U66" s="2">
        <v>1</v>
      </c>
      <c r="V66" s="3">
        <v>7753579</v>
      </c>
      <c r="W66" s="3">
        <v>7753579</v>
      </c>
      <c r="X66" s="3">
        <v>7753579</v>
      </c>
      <c r="Y66" s="2">
        <v>0</v>
      </c>
      <c r="Z66" s="2" t="s">
        <v>184</v>
      </c>
      <c r="AA66" s="2" t="s">
        <v>113</v>
      </c>
      <c r="AB66" s="6" t="s">
        <v>36</v>
      </c>
      <c r="AC66" s="9" t="s">
        <v>37</v>
      </c>
      <c r="AD66" s="6">
        <v>9288188</v>
      </c>
      <c r="AE66" s="9" t="s">
        <v>117</v>
      </c>
      <c r="AF66" s="8" t="str">
        <f>CONCATENATE(AB66," - ",AC66," - ",AD66," - ",AE66)</f>
        <v>Acordo Judicial Vale - Anexo IV - 9288188 - Construção e/ou manutenção de Centros de Triagem e Reabilitação de Animais Silvestres no Estado de Minas Gerais</v>
      </c>
    </row>
    <row r="67" spans="1:32" ht="64" x14ac:dyDescent="0.2">
      <c r="A67" s="2">
        <v>2024</v>
      </c>
      <c r="B67" s="2">
        <v>1370</v>
      </c>
      <c r="C67" s="2" t="s">
        <v>104</v>
      </c>
      <c r="D67" s="2">
        <v>3</v>
      </c>
      <c r="E67" s="2">
        <v>0</v>
      </c>
      <c r="F67" s="2">
        <v>2101</v>
      </c>
      <c r="G67" s="2" t="s">
        <v>112</v>
      </c>
      <c r="H67" s="2">
        <v>4</v>
      </c>
      <c r="I67" s="2">
        <v>4</v>
      </c>
      <c r="J67" s="2">
        <v>90</v>
      </c>
      <c r="K67" s="2">
        <v>52</v>
      </c>
      <c r="L67" s="2">
        <v>95</v>
      </c>
      <c r="M67" s="2">
        <v>1</v>
      </c>
      <c r="N67" s="2">
        <v>10275</v>
      </c>
      <c r="O67" s="2">
        <v>18</v>
      </c>
      <c r="P67" s="2">
        <v>541</v>
      </c>
      <c r="Q67" s="2">
        <v>31</v>
      </c>
      <c r="R67" s="2">
        <v>4</v>
      </c>
      <c r="S67" s="2">
        <v>58</v>
      </c>
      <c r="T67" s="2">
        <v>4058</v>
      </c>
      <c r="U67" s="2">
        <v>1</v>
      </c>
      <c r="V67" s="3">
        <v>284818</v>
      </c>
      <c r="W67" s="3">
        <v>284818</v>
      </c>
      <c r="X67" s="3">
        <v>284818</v>
      </c>
      <c r="Y67" s="2">
        <v>0</v>
      </c>
      <c r="Z67" s="2" t="s">
        <v>184</v>
      </c>
      <c r="AA67" s="2" t="s">
        <v>113</v>
      </c>
      <c r="AB67" s="6" t="s">
        <v>36</v>
      </c>
      <c r="AC67" s="9" t="s">
        <v>37</v>
      </c>
      <c r="AD67" s="6">
        <v>9288188</v>
      </c>
      <c r="AE67" s="9" t="s">
        <v>117</v>
      </c>
      <c r="AF67" s="8" t="str">
        <f t="shared" ref="AF67:AF68" si="12">CONCATENATE(AB67," - ",AC67," - ",AD67," - ",AE67)</f>
        <v>Acordo Judicial Vale - Anexo IV - 9288188 - Construção e/ou manutenção de Centros de Triagem e Reabilitação de Animais Silvestres no Estado de Minas Gerais</v>
      </c>
    </row>
    <row r="68" spans="1:32" ht="48" x14ac:dyDescent="0.2">
      <c r="A68" s="2">
        <v>2024</v>
      </c>
      <c r="B68" s="2">
        <v>1370</v>
      </c>
      <c r="C68" s="2" t="s">
        <v>104</v>
      </c>
      <c r="D68" s="2">
        <v>3</v>
      </c>
      <c r="E68" s="2">
        <v>0</v>
      </c>
      <c r="F68" s="2">
        <v>2101</v>
      </c>
      <c r="G68" s="2" t="s">
        <v>112</v>
      </c>
      <c r="H68" s="2">
        <v>3</v>
      </c>
      <c r="I68" s="2">
        <v>1</v>
      </c>
      <c r="J68" s="2">
        <v>90</v>
      </c>
      <c r="K68" s="2">
        <v>4</v>
      </c>
      <c r="L68" s="2">
        <v>95</v>
      </c>
      <c r="M68" s="2">
        <v>1</v>
      </c>
      <c r="N68" s="2">
        <v>10276</v>
      </c>
      <c r="O68" s="2">
        <v>18</v>
      </c>
      <c r="P68" s="2">
        <v>541</v>
      </c>
      <c r="Q68" s="2">
        <v>31</v>
      </c>
      <c r="R68" s="2">
        <v>4</v>
      </c>
      <c r="S68" s="2">
        <v>59</v>
      </c>
      <c r="T68" s="2">
        <v>4059</v>
      </c>
      <c r="U68" s="2">
        <v>1</v>
      </c>
      <c r="V68" s="3">
        <v>188873</v>
      </c>
      <c r="W68" s="3">
        <v>188873</v>
      </c>
      <c r="X68" s="3">
        <v>188873</v>
      </c>
      <c r="Y68" s="2">
        <v>0</v>
      </c>
      <c r="Z68" s="2" t="s">
        <v>154</v>
      </c>
      <c r="AA68" s="2" t="s">
        <v>113</v>
      </c>
      <c r="AB68" s="6" t="s">
        <v>36</v>
      </c>
      <c r="AC68" s="7" t="s">
        <v>53</v>
      </c>
      <c r="AD68" s="6">
        <v>0</v>
      </c>
      <c r="AE68" s="7" t="s">
        <v>54</v>
      </c>
      <c r="AF68" s="8" t="str">
        <f t="shared" si="12"/>
        <v>Acordo Judicial Vale - 4.4.10 - Ressarcimentos e contratações temporárias - 0 - Contratações temporárias</v>
      </c>
    </row>
    <row r="69" spans="1:32" ht="48" x14ac:dyDescent="0.2">
      <c r="A69" s="2">
        <v>2024</v>
      </c>
      <c r="B69" s="2">
        <v>1370</v>
      </c>
      <c r="C69" s="2" t="s">
        <v>104</v>
      </c>
      <c r="D69" s="2">
        <v>3</v>
      </c>
      <c r="E69" s="2">
        <v>0</v>
      </c>
      <c r="F69" s="2">
        <v>2101</v>
      </c>
      <c r="G69" s="2" t="s">
        <v>112</v>
      </c>
      <c r="H69" s="2">
        <v>3</v>
      </c>
      <c r="I69" s="2">
        <v>1</v>
      </c>
      <c r="J69" s="2">
        <v>91</v>
      </c>
      <c r="K69" s="2">
        <v>4</v>
      </c>
      <c r="L69" s="2">
        <v>95</v>
      </c>
      <c r="M69" s="2">
        <v>1</v>
      </c>
      <c r="N69" s="2">
        <v>10276</v>
      </c>
      <c r="O69" s="2">
        <v>18</v>
      </c>
      <c r="P69" s="2">
        <v>541</v>
      </c>
      <c r="Q69" s="2">
        <v>31</v>
      </c>
      <c r="R69" s="2">
        <v>4</v>
      </c>
      <c r="S69" s="2">
        <v>59</v>
      </c>
      <c r="T69" s="2">
        <v>4059</v>
      </c>
      <c r="U69" s="2">
        <v>1</v>
      </c>
      <c r="V69" s="3">
        <v>1631</v>
      </c>
      <c r="W69" s="3">
        <v>1631</v>
      </c>
      <c r="X69" s="3">
        <v>1631</v>
      </c>
      <c r="Y69" s="2">
        <v>0</v>
      </c>
      <c r="Z69" s="2" t="s">
        <v>154</v>
      </c>
      <c r="AA69" s="2" t="s">
        <v>113</v>
      </c>
      <c r="AB69" s="6" t="s">
        <v>36</v>
      </c>
      <c r="AC69" s="7" t="s">
        <v>53</v>
      </c>
      <c r="AD69" s="6">
        <v>0</v>
      </c>
      <c r="AE69" s="7" t="s">
        <v>54</v>
      </c>
      <c r="AF69" s="8" t="str">
        <f>CONCATENATE(AB69," - ",AC69," - ",AD69," - ",AE69)</f>
        <v>Acordo Judicial Vale - 4.4.10 - Ressarcimentos e contratações temporárias - 0 - Contratações temporárias</v>
      </c>
    </row>
    <row r="70" spans="1:32" ht="48" x14ac:dyDescent="0.2">
      <c r="A70" s="2">
        <v>2024</v>
      </c>
      <c r="B70" s="2">
        <v>1370</v>
      </c>
      <c r="C70" s="2" t="s">
        <v>104</v>
      </c>
      <c r="D70" s="2">
        <v>3</v>
      </c>
      <c r="E70" s="2">
        <v>0</v>
      </c>
      <c r="F70" s="2">
        <v>2101</v>
      </c>
      <c r="G70" s="2" t="s">
        <v>112</v>
      </c>
      <c r="H70" s="2">
        <v>3</v>
      </c>
      <c r="I70" s="2">
        <v>3</v>
      </c>
      <c r="J70" s="2">
        <v>90</v>
      </c>
      <c r="K70" s="2">
        <v>35</v>
      </c>
      <c r="L70" s="2">
        <v>95</v>
      </c>
      <c r="M70" s="2">
        <v>1</v>
      </c>
      <c r="N70" s="2">
        <v>10276</v>
      </c>
      <c r="O70" s="2">
        <v>18</v>
      </c>
      <c r="P70" s="2">
        <v>541</v>
      </c>
      <c r="Q70" s="2">
        <v>31</v>
      </c>
      <c r="R70" s="2">
        <v>4</v>
      </c>
      <c r="S70" s="2">
        <v>59</v>
      </c>
      <c r="T70" s="2">
        <v>4059</v>
      </c>
      <c r="U70" s="2">
        <v>1</v>
      </c>
      <c r="V70" s="3">
        <v>4167500</v>
      </c>
      <c r="W70" s="3">
        <v>4167500</v>
      </c>
      <c r="X70" s="3">
        <v>4167500</v>
      </c>
      <c r="Y70" s="2">
        <v>0</v>
      </c>
      <c r="Z70" s="2" t="s">
        <v>182</v>
      </c>
      <c r="AA70" s="2" t="s">
        <v>113</v>
      </c>
      <c r="AB70" s="6" t="s">
        <v>36</v>
      </c>
      <c r="AC70" s="9" t="s">
        <v>37</v>
      </c>
      <c r="AD70" s="6">
        <v>9288187</v>
      </c>
      <c r="AE70" s="9" t="s">
        <v>115</v>
      </c>
      <c r="AF70" s="8" t="str">
        <f>CONCATENATE(AB70," - ",AC70," - ",AD70," - ",AE70)</f>
        <v>Acordo Judicial Vale - Anexo IV - 9288187 - Consolidação das unidades de conservação no Estado de Minas Gerais</v>
      </c>
    </row>
    <row r="71" spans="1:32" ht="48" x14ac:dyDescent="0.2">
      <c r="A71" s="2">
        <v>2024</v>
      </c>
      <c r="B71" s="2">
        <v>1370</v>
      </c>
      <c r="C71" s="2" t="s">
        <v>104</v>
      </c>
      <c r="D71" s="2">
        <v>3</v>
      </c>
      <c r="E71" s="2">
        <v>0</v>
      </c>
      <c r="F71" s="2">
        <v>2101</v>
      </c>
      <c r="G71" s="2" t="s">
        <v>112</v>
      </c>
      <c r="H71" s="2">
        <v>3</v>
      </c>
      <c r="I71" s="2">
        <v>3</v>
      </c>
      <c r="J71" s="2">
        <v>90</v>
      </c>
      <c r="K71" s="2">
        <v>39</v>
      </c>
      <c r="L71" s="2">
        <v>95</v>
      </c>
      <c r="M71" s="2">
        <v>1</v>
      </c>
      <c r="N71" s="2">
        <v>10276</v>
      </c>
      <c r="O71" s="2">
        <v>18</v>
      </c>
      <c r="P71" s="2">
        <v>541</v>
      </c>
      <c r="Q71" s="2">
        <v>31</v>
      </c>
      <c r="R71" s="2">
        <v>4</v>
      </c>
      <c r="S71" s="2">
        <v>59</v>
      </c>
      <c r="T71" s="2">
        <v>4059</v>
      </c>
      <c r="U71" s="2">
        <v>1</v>
      </c>
      <c r="V71" s="3">
        <v>17000000</v>
      </c>
      <c r="W71" s="3">
        <v>17000000</v>
      </c>
      <c r="X71" s="3">
        <v>17000000</v>
      </c>
      <c r="Y71" s="2">
        <v>0</v>
      </c>
      <c r="Z71" s="2" t="s">
        <v>182</v>
      </c>
      <c r="AA71" s="2" t="s">
        <v>113</v>
      </c>
      <c r="AB71" s="6" t="s">
        <v>36</v>
      </c>
      <c r="AC71" s="9" t="s">
        <v>37</v>
      </c>
      <c r="AD71" s="6">
        <v>9288187</v>
      </c>
      <c r="AE71" s="9" t="s">
        <v>115</v>
      </c>
      <c r="AF71" s="8" t="str">
        <f>CONCATENATE(AB71," - ",AC71," - ",AD71," - ",AE71)</f>
        <v>Acordo Judicial Vale - Anexo IV - 9288187 - Consolidação das unidades de conservação no Estado de Minas Gerais</v>
      </c>
    </row>
    <row r="72" spans="1:32" ht="48" x14ac:dyDescent="0.2">
      <c r="A72" s="2">
        <v>2024</v>
      </c>
      <c r="B72" s="2">
        <v>1370</v>
      </c>
      <c r="C72" s="2" t="s">
        <v>104</v>
      </c>
      <c r="D72" s="2">
        <v>3</v>
      </c>
      <c r="E72" s="2">
        <v>0</v>
      </c>
      <c r="F72" s="2">
        <v>2101</v>
      </c>
      <c r="G72" s="2" t="s">
        <v>112</v>
      </c>
      <c r="H72" s="2">
        <v>3</v>
      </c>
      <c r="I72" s="2">
        <v>3</v>
      </c>
      <c r="J72" s="2">
        <v>90</v>
      </c>
      <c r="K72" s="2">
        <v>46</v>
      </c>
      <c r="L72" s="2">
        <v>95</v>
      </c>
      <c r="M72" s="2">
        <v>7</v>
      </c>
      <c r="N72" s="2">
        <v>10276</v>
      </c>
      <c r="O72" s="2">
        <v>18</v>
      </c>
      <c r="P72" s="2">
        <v>541</v>
      </c>
      <c r="Q72" s="2">
        <v>31</v>
      </c>
      <c r="R72" s="2">
        <v>4</v>
      </c>
      <c r="S72" s="2">
        <v>59</v>
      </c>
      <c r="T72" s="2">
        <v>4059</v>
      </c>
      <c r="U72" s="2">
        <v>1</v>
      </c>
      <c r="V72" s="3">
        <v>95161</v>
      </c>
      <c r="W72" s="3">
        <v>95161</v>
      </c>
      <c r="X72" s="3">
        <v>95161</v>
      </c>
      <c r="Y72" s="2">
        <v>0</v>
      </c>
      <c r="Z72" s="2" t="s">
        <v>154</v>
      </c>
      <c r="AA72" s="2" t="s">
        <v>113</v>
      </c>
      <c r="AB72" s="6" t="s">
        <v>36</v>
      </c>
      <c r="AC72" s="7" t="s">
        <v>53</v>
      </c>
      <c r="AD72" s="6">
        <v>0</v>
      </c>
      <c r="AE72" s="7" t="s">
        <v>54</v>
      </c>
      <c r="AF72" s="8" t="str">
        <f>CONCATENATE(AB72," - ",AC72," - ",AD72," - ",AE72)</f>
        <v>Acordo Judicial Vale - 4.4.10 - Ressarcimentos e contratações temporárias - 0 - Contratações temporárias</v>
      </c>
    </row>
    <row r="73" spans="1:32" ht="48" x14ac:dyDescent="0.2">
      <c r="A73" s="2">
        <v>2024</v>
      </c>
      <c r="B73" s="2">
        <v>1370</v>
      </c>
      <c r="C73" s="2" t="s">
        <v>104</v>
      </c>
      <c r="D73" s="2">
        <v>3</v>
      </c>
      <c r="E73" s="2">
        <v>0</v>
      </c>
      <c r="F73" s="2">
        <v>2101</v>
      </c>
      <c r="G73" s="2" t="s">
        <v>112</v>
      </c>
      <c r="H73" s="2">
        <v>3</v>
      </c>
      <c r="I73" s="2">
        <v>3</v>
      </c>
      <c r="J73" s="2">
        <v>90</v>
      </c>
      <c r="K73" s="2">
        <v>49</v>
      </c>
      <c r="L73" s="2">
        <v>95</v>
      </c>
      <c r="M73" s="2">
        <v>7</v>
      </c>
      <c r="N73" s="2">
        <v>10276</v>
      </c>
      <c r="O73" s="2">
        <v>18</v>
      </c>
      <c r="P73" s="2">
        <v>541</v>
      </c>
      <c r="Q73" s="2">
        <v>31</v>
      </c>
      <c r="R73" s="2">
        <v>4</v>
      </c>
      <c r="S73" s="2">
        <v>59</v>
      </c>
      <c r="T73" s="2">
        <v>4059</v>
      </c>
      <c r="U73" s="2">
        <v>1</v>
      </c>
      <c r="V73" s="3">
        <v>2340</v>
      </c>
      <c r="W73" s="3">
        <v>2340</v>
      </c>
      <c r="X73" s="3">
        <v>2340</v>
      </c>
      <c r="Y73" s="2">
        <v>0</v>
      </c>
      <c r="Z73" s="2" t="s">
        <v>154</v>
      </c>
      <c r="AA73" s="2" t="s">
        <v>113</v>
      </c>
      <c r="AB73" s="6" t="s">
        <v>36</v>
      </c>
      <c r="AC73" s="7" t="s">
        <v>53</v>
      </c>
      <c r="AD73" s="6">
        <v>0</v>
      </c>
      <c r="AE73" s="7" t="s">
        <v>54</v>
      </c>
      <c r="AF73" s="8" t="str">
        <f>CONCATENATE(AB73," - ",AC73," - ",AD73," - ",AE73)</f>
        <v>Acordo Judicial Vale - 4.4.10 - Ressarcimentos e contratações temporárias - 0 - Contratações temporárias</v>
      </c>
    </row>
    <row r="74" spans="1:32" ht="48" x14ac:dyDescent="0.2">
      <c r="A74" s="2">
        <v>2024</v>
      </c>
      <c r="B74" s="2">
        <v>1370</v>
      </c>
      <c r="C74" s="2" t="s">
        <v>104</v>
      </c>
      <c r="D74" s="2">
        <v>3</v>
      </c>
      <c r="E74" s="2">
        <v>0</v>
      </c>
      <c r="F74" s="2">
        <v>2101</v>
      </c>
      <c r="G74" s="2" t="s">
        <v>112</v>
      </c>
      <c r="H74" s="2">
        <v>4</v>
      </c>
      <c r="I74" s="2">
        <v>4</v>
      </c>
      <c r="J74" s="2">
        <v>90</v>
      </c>
      <c r="K74" s="2">
        <v>51</v>
      </c>
      <c r="L74" s="2">
        <v>95</v>
      </c>
      <c r="M74" s="2">
        <v>1</v>
      </c>
      <c r="N74" s="2">
        <v>10276</v>
      </c>
      <c r="O74" s="2">
        <v>18</v>
      </c>
      <c r="P74" s="2">
        <v>541</v>
      </c>
      <c r="Q74" s="2">
        <v>31</v>
      </c>
      <c r="R74" s="2">
        <v>4</v>
      </c>
      <c r="S74" s="2">
        <v>59</v>
      </c>
      <c r="T74" s="2">
        <v>4059</v>
      </c>
      <c r="U74" s="2">
        <v>1</v>
      </c>
      <c r="V74" s="3">
        <v>190166</v>
      </c>
      <c r="W74" s="3">
        <v>190166</v>
      </c>
      <c r="X74" s="3">
        <v>190166</v>
      </c>
      <c r="Y74" s="2">
        <v>0</v>
      </c>
      <c r="Z74" s="2" t="s">
        <v>182</v>
      </c>
      <c r="AA74" s="2" t="s">
        <v>113</v>
      </c>
      <c r="AB74" s="6" t="s">
        <v>36</v>
      </c>
      <c r="AC74" s="9" t="s">
        <v>37</v>
      </c>
      <c r="AD74" s="6">
        <v>9288187</v>
      </c>
      <c r="AE74" s="7" t="s">
        <v>115</v>
      </c>
      <c r="AF74" s="8" t="str">
        <f t="shared" ref="AF74:AF75" si="13">CONCATENATE(AB74," - ",AC74," - ",AD74," - ",AE74)</f>
        <v>Acordo Judicial Vale - Anexo IV - 9288187 - Consolidação das unidades de conservação no Estado de Minas Gerais</v>
      </c>
    </row>
    <row r="75" spans="1:32" ht="48" x14ac:dyDescent="0.2">
      <c r="A75" s="2">
        <v>2024</v>
      </c>
      <c r="B75" s="2">
        <v>1370</v>
      </c>
      <c r="C75" s="2" t="s">
        <v>104</v>
      </c>
      <c r="D75" s="2">
        <v>3</v>
      </c>
      <c r="E75" s="2">
        <v>0</v>
      </c>
      <c r="F75" s="2">
        <v>2101</v>
      </c>
      <c r="G75" s="2" t="s">
        <v>112</v>
      </c>
      <c r="H75" s="2">
        <v>4</v>
      </c>
      <c r="I75" s="2">
        <v>5</v>
      </c>
      <c r="J75" s="2">
        <v>90</v>
      </c>
      <c r="K75" s="2">
        <v>61</v>
      </c>
      <c r="L75" s="2">
        <v>95</v>
      </c>
      <c r="M75" s="2">
        <v>1</v>
      </c>
      <c r="N75" s="2">
        <v>10276</v>
      </c>
      <c r="O75" s="2">
        <v>18</v>
      </c>
      <c r="P75" s="2">
        <v>541</v>
      </c>
      <c r="Q75" s="2">
        <v>31</v>
      </c>
      <c r="R75" s="2">
        <v>4</v>
      </c>
      <c r="S75" s="2">
        <v>59</v>
      </c>
      <c r="T75" s="2">
        <v>4059</v>
      </c>
      <c r="U75" s="2">
        <v>1</v>
      </c>
      <c r="V75" s="3">
        <v>2114756</v>
      </c>
      <c r="W75" s="3">
        <v>2114756</v>
      </c>
      <c r="X75" s="3">
        <v>2114756</v>
      </c>
      <c r="Y75" s="2">
        <v>0</v>
      </c>
      <c r="Z75" s="2" t="s">
        <v>182</v>
      </c>
      <c r="AA75" s="2" t="s">
        <v>113</v>
      </c>
      <c r="AB75" s="6" t="s">
        <v>36</v>
      </c>
      <c r="AC75" s="9" t="s">
        <v>37</v>
      </c>
      <c r="AD75" s="6">
        <v>9288187</v>
      </c>
      <c r="AE75" s="9" t="s">
        <v>115</v>
      </c>
      <c r="AF75" s="8" t="str">
        <f t="shared" si="13"/>
        <v>Acordo Judicial Vale - Anexo IV - 9288187 - Consolidação das unidades de conservação no Estado de Minas Gerais</v>
      </c>
    </row>
    <row r="76" spans="1:32" ht="48" x14ac:dyDescent="0.2">
      <c r="A76" s="2">
        <v>2024</v>
      </c>
      <c r="B76" s="2">
        <v>1370</v>
      </c>
      <c r="C76" s="2" t="s">
        <v>104</v>
      </c>
      <c r="D76" s="2">
        <v>3</v>
      </c>
      <c r="E76" s="2">
        <v>0</v>
      </c>
      <c r="F76" s="2">
        <v>2101</v>
      </c>
      <c r="G76" s="2" t="s">
        <v>112</v>
      </c>
      <c r="H76" s="2">
        <v>3</v>
      </c>
      <c r="I76" s="2">
        <v>1</v>
      </c>
      <c r="J76" s="2">
        <v>90</v>
      </c>
      <c r="K76" s="2">
        <v>4</v>
      </c>
      <c r="L76" s="2">
        <v>95</v>
      </c>
      <c r="M76" s="2">
        <v>1</v>
      </c>
      <c r="N76" s="2">
        <v>10273</v>
      </c>
      <c r="O76" s="2">
        <v>18</v>
      </c>
      <c r="P76" s="2">
        <v>543</v>
      </c>
      <c r="Q76" s="2">
        <v>31</v>
      </c>
      <c r="R76" s="2">
        <v>4</v>
      </c>
      <c r="S76" s="2">
        <v>56</v>
      </c>
      <c r="T76" s="2">
        <v>4056</v>
      </c>
      <c r="U76" s="2">
        <v>1</v>
      </c>
      <c r="V76" s="3">
        <v>188873</v>
      </c>
      <c r="W76" s="3">
        <v>188873</v>
      </c>
      <c r="X76" s="3">
        <v>188873</v>
      </c>
      <c r="Y76" s="2">
        <v>0</v>
      </c>
      <c r="Z76" s="2" t="s">
        <v>154</v>
      </c>
      <c r="AA76" s="2" t="s">
        <v>113</v>
      </c>
      <c r="AB76" s="6" t="s">
        <v>36</v>
      </c>
      <c r="AC76" s="7" t="s">
        <v>53</v>
      </c>
      <c r="AD76" s="6">
        <v>0</v>
      </c>
      <c r="AE76" s="7" t="s">
        <v>54</v>
      </c>
      <c r="AF76" s="8" t="str">
        <f>CONCATENATE(AB76," - ",AC76," - ",AD76," - ",AE76)</f>
        <v>Acordo Judicial Vale - 4.4.10 - Ressarcimentos e contratações temporárias - 0 - Contratações temporárias</v>
      </c>
    </row>
    <row r="77" spans="1:32" ht="48" x14ac:dyDescent="0.2">
      <c r="A77" s="2">
        <v>2024</v>
      </c>
      <c r="B77" s="2">
        <v>1370</v>
      </c>
      <c r="C77" s="2" t="s">
        <v>104</v>
      </c>
      <c r="D77" s="2">
        <v>3</v>
      </c>
      <c r="E77" s="2">
        <v>0</v>
      </c>
      <c r="F77" s="2">
        <v>2101</v>
      </c>
      <c r="G77" s="2" t="s">
        <v>112</v>
      </c>
      <c r="H77" s="2">
        <v>3</v>
      </c>
      <c r="I77" s="2">
        <v>1</v>
      </c>
      <c r="J77" s="2">
        <v>91</v>
      </c>
      <c r="K77" s="2">
        <v>4</v>
      </c>
      <c r="L77" s="2">
        <v>95</v>
      </c>
      <c r="M77" s="2">
        <v>1</v>
      </c>
      <c r="N77" s="2">
        <v>10273</v>
      </c>
      <c r="O77" s="2">
        <v>18</v>
      </c>
      <c r="P77" s="2">
        <v>543</v>
      </c>
      <c r="Q77" s="2">
        <v>31</v>
      </c>
      <c r="R77" s="2">
        <v>4</v>
      </c>
      <c r="S77" s="2">
        <v>56</v>
      </c>
      <c r="T77" s="2">
        <v>4056</v>
      </c>
      <c r="U77" s="2">
        <v>1</v>
      </c>
      <c r="V77" s="3">
        <v>1631</v>
      </c>
      <c r="W77" s="3">
        <v>1631</v>
      </c>
      <c r="X77" s="3">
        <v>1631</v>
      </c>
      <c r="Y77" s="2">
        <v>0</v>
      </c>
      <c r="Z77" s="2" t="s">
        <v>154</v>
      </c>
      <c r="AA77" s="2" t="s">
        <v>113</v>
      </c>
      <c r="AB77" s="6" t="s">
        <v>36</v>
      </c>
      <c r="AC77" s="7" t="s">
        <v>53</v>
      </c>
      <c r="AD77" s="6">
        <v>0</v>
      </c>
      <c r="AE77" s="7" t="s">
        <v>54</v>
      </c>
      <c r="AF77" s="8" t="str">
        <f>CONCATENATE(AB77," - ",AC77," - ",AD77," - ",AE77)</f>
        <v>Acordo Judicial Vale - 4.4.10 - Ressarcimentos e contratações temporárias - 0 - Contratações temporárias</v>
      </c>
    </row>
    <row r="78" spans="1:32" ht="48" x14ac:dyDescent="0.2">
      <c r="A78" s="2">
        <v>2024</v>
      </c>
      <c r="B78" s="2">
        <v>1370</v>
      </c>
      <c r="C78" s="2" t="s">
        <v>104</v>
      </c>
      <c r="D78" s="2">
        <v>3</v>
      </c>
      <c r="E78" s="2">
        <v>0</v>
      </c>
      <c r="F78" s="2">
        <v>2101</v>
      </c>
      <c r="G78" s="2" t="s">
        <v>112</v>
      </c>
      <c r="H78" s="2">
        <v>3</v>
      </c>
      <c r="I78" s="2">
        <v>3</v>
      </c>
      <c r="J78" s="2">
        <v>90</v>
      </c>
      <c r="K78" s="2">
        <v>39</v>
      </c>
      <c r="L78" s="2">
        <v>95</v>
      </c>
      <c r="M78" s="2">
        <v>7</v>
      </c>
      <c r="N78" s="2">
        <v>10273</v>
      </c>
      <c r="O78" s="2">
        <v>18</v>
      </c>
      <c r="P78" s="2">
        <v>543</v>
      </c>
      <c r="Q78" s="2">
        <v>31</v>
      </c>
      <c r="R78" s="2">
        <v>4</v>
      </c>
      <c r="S78" s="2">
        <v>56</v>
      </c>
      <c r="T78" s="2">
        <v>4056</v>
      </c>
      <c r="U78" s="2">
        <v>1</v>
      </c>
      <c r="V78" s="3">
        <v>2340</v>
      </c>
      <c r="W78" s="3">
        <v>2340</v>
      </c>
      <c r="X78" s="3">
        <v>2340</v>
      </c>
      <c r="Y78" s="2">
        <v>0</v>
      </c>
      <c r="Z78" s="2" t="s">
        <v>154</v>
      </c>
      <c r="AA78" s="2" t="s">
        <v>113</v>
      </c>
      <c r="AB78" s="6" t="s">
        <v>36</v>
      </c>
      <c r="AC78" s="7" t="s">
        <v>53</v>
      </c>
      <c r="AD78" s="6">
        <v>0</v>
      </c>
      <c r="AE78" s="7" t="s">
        <v>54</v>
      </c>
      <c r="AF78" s="8" t="str">
        <f>CONCATENATE(AB78," - ",AC78," - ",AD78," - ",AE78)</f>
        <v>Acordo Judicial Vale - 4.4.10 - Ressarcimentos e contratações temporárias - 0 - Contratações temporárias</v>
      </c>
    </row>
    <row r="79" spans="1:32" ht="48" x14ac:dyDescent="0.2">
      <c r="A79" s="2">
        <v>2024</v>
      </c>
      <c r="B79" s="2">
        <v>1370</v>
      </c>
      <c r="C79" s="2" t="s">
        <v>104</v>
      </c>
      <c r="D79" s="2">
        <v>3</v>
      </c>
      <c r="E79" s="2">
        <v>0</v>
      </c>
      <c r="F79" s="2">
        <v>2101</v>
      </c>
      <c r="G79" s="2" t="s">
        <v>112</v>
      </c>
      <c r="H79" s="2">
        <v>3</v>
      </c>
      <c r="I79" s="2">
        <v>3</v>
      </c>
      <c r="J79" s="2">
        <v>90</v>
      </c>
      <c r="K79" s="2">
        <v>46</v>
      </c>
      <c r="L79" s="2">
        <v>95</v>
      </c>
      <c r="M79" s="2">
        <v>7</v>
      </c>
      <c r="N79" s="2">
        <v>10273</v>
      </c>
      <c r="O79" s="2">
        <v>18</v>
      </c>
      <c r="P79" s="2">
        <v>543</v>
      </c>
      <c r="Q79" s="2">
        <v>31</v>
      </c>
      <c r="R79" s="2">
        <v>4</v>
      </c>
      <c r="S79" s="2">
        <v>56</v>
      </c>
      <c r="T79" s="2">
        <v>4056</v>
      </c>
      <c r="U79" s="2">
        <v>1</v>
      </c>
      <c r="V79" s="3">
        <v>95162</v>
      </c>
      <c r="W79" s="3">
        <v>95162</v>
      </c>
      <c r="X79" s="3">
        <v>95162</v>
      </c>
      <c r="Y79" s="2">
        <v>0</v>
      </c>
      <c r="Z79" s="2" t="s">
        <v>154</v>
      </c>
      <c r="AA79" s="2" t="s">
        <v>113</v>
      </c>
      <c r="AB79" s="6" t="s">
        <v>36</v>
      </c>
      <c r="AC79" s="7" t="s">
        <v>53</v>
      </c>
      <c r="AD79" s="6">
        <v>0</v>
      </c>
      <c r="AE79" s="7" t="s">
        <v>54</v>
      </c>
      <c r="AF79" s="8" t="str">
        <f>CONCATENATE(AB79," - ",AC79," - ",AD79," - ",AE79)</f>
        <v>Acordo Judicial Vale - 4.4.10 - Ressarcimentos e contratações temporárias - 0 - Contratações temporárias</v>
      </c>
    </row>
    <row r="80" spans="1:32" ht="48" x14ac:dyDescent="0.2">
      <c r="A80" s="2">
        <v>2024</v>
      </c>
      <c r="B80" s="2">
        <v>1370</v>
      </c>
      <c r="C80" s="2" t="s">
        <v>104</v>
      </c>
      <c r="D80" s="2">
        <v>3</v>
      </c>
      <c r="E80" s="2">
        <v>0</v>
      </c>
      <c r="F80" s="2">
        <v>2241</v>
      </c>
      <c r="G80" s="2" t="s">
        <v>118</v>
      </c>
      <c r="H80" s="2">
        <v>3</v>
      </c>
      <c r="I80" s="2">
        <v>1</v>
      </c>
      <c r="J80" s="2">
        <v>90</v>
      </c>
      <c r="K80" s="2">
        <v>4</v>
      </c>
      <c r="L80" s="2">
        <v>95</v>
      </c>
      <c r="M80" s="2">
        <v>1</v>
      </c>
      <c r="N80" s="2">
        <v>10452</v>
      </c>
      <c r="O80" s="2">
        <v>18</v>
      </c>
      <c r="P80" s="2">
        <v>544</v>
      </c>
      <c r="Q80" s="2">
        <v>65</v>
      </c>
      <c r="R80" s="2">
        <v>4</v>
      </c>
      <c r="S80" s="2">
        <v>187</v>
      </c>
      <c r="T80" s="2">
        <v>4187</v>
      </c>
      <c r="U80" s="2">
        <v>1</v>
      </c>
      <c r="V80" s="3">
        <v>67530</v>
      </c>
      <c r="W80" s="3">
        <v>67530</v>
      </c>
      <c r="X80" s="3">
        <v>67530</v>
      </c>
      <c r="Y80" s="2">
        <v>0</v>
      </c>
      <c r="Z80" s="2" t="s">
        <v>154</v>
      </c>
      <c r="AA80" s="2" t="s">
        <v>119</v>
      </c>
      <c r="AB80" s="6" t="s">
        <v>36</v>
      </c>
      <c r="AC80" s="7" t="s">
        <v>53</v>
      </c>
      <c r="AD80" s="6">
        <v>0</v>
      </c>
      <c r="AE80" s="7" t="s">
        <v>54</v>
      </c>
      <c r="AF80" s="8" t="str">
        <f>CONCATENATE(AB80," - ",AC80," - ",AD80," - ",AE80)</f>
        <v>Acordo Judicial Vale - 4.4.10 - Ressarcimentos e contratações temporárias - 0 - Contratações temporárias</v>
      </c>
    </row>
    <row r="81" spans="1:32" ht="48" x14ac:dyDescent="0.2">
      <c r="A81" s="2">
        <v>2024</v>
      </c>
      <c r="B81" s="2">
        <v>1370</v>
      </c>
      <c r="C81" s="2" t="s">
        <v>104</v>
      </c>
      <c r="D81" s="2">
        <v>3</v>
      </c>
      <c r="E81" s="2">
        <v>0</v>
      </c>
      <c r="F81" s="2">
        <v>2241</v>
      </c>
      <c r="G81" s="2" t="s">
        <v>118</v>
      </c>
      <c r="H81" s="2">
        <v>3</v>
      </c>
      <c r="I81" s="2">
        <v>3</v>
      </c>
      <c r="J81" s="2">
        <v>90</v>
      </c>
      <c r="K81" s="2">
        <v>46</v>
      </c>
      <c r="L81" s="2">
        <v>95</v>
      </c>
      <c r="M81" s="2">
        <v>7</v>
      </c>
      <c r="N81" s="2">
        <v>10452</v>
      </c>
      <c r="O81" s="2">
        <v>18</v>
      </c>
      <c r="P81" s="2">
        <v>544</v>
      </c>
      <c r="Q81" s="2">
        <v>65</v>
      </c>
      <c r="R81" s="2">
        <v>4</v>
      </c>
      <c r="S81" s="2">
        <v>187</v>
      </c>
      <c r="T81" s="2">
        <v>4187</v>
      </c>
      <c r="U81" s="2">
        <v>1</v>
      </c>
      <c r="V81" s="3">
        <v>26601</v>
      </c>
      <c r="W81" s="3">
        <v>26601</v>
      </c>
      <c r="X81" s="3">
        <v>26601</v>
      </c>
      <c r="Y81" s="2">
        <v>0</v>
      </c>
      <c r="Z81" s="2" t="s">
        <v>154</v>
      </c>
      <c r="AA81" s="2" t="s">
        <v>119</v>
      </c>
      <c r="AB81" s="6" t="s">
        <v>36</v>
      </c>
      <c r="AC81" s="7" t="s">
        <v>53</v>
      </c>
      <c r="AD81" s="6">
        <v>0</v>
      </c>
      <c r="AE81" s="7" t="s">
        <v>54</v>
      </c>
      <c r="AF81" s="8" t="str">
        <f>CONCATENATE(AB81," - ",AC81," - ",AD81," - ",AE81)</f>
        <v>Acordo Judicial Vale - 4.4.10 - Ressarcimentos e contratações temporárias - 0 - Contratações temporárias</v>
      </c>
    </row>
    <row r="82" spans="1:32" ht="48" x14ac:dyDescent="0.2">
      <c r="A82" s="2">
        <v>2024</v>
      </c>
      <c r="B82" s="2">
        <v>1370</v>
      </c>
      <c r="C82" s="2" t="s">
        <v>104</v>
      </c>
      <c r="D82" s="2">
        <v>3</v>
      </c>
      <c r="E82" s="2">
        <v>0</v>
      </c>
      <c r="F82" s="2">
        <v>2241</v>
      </c>
      <c r="G82" s="2" t="s">
        <v>118</v>
      </c>
      <c r="H82" s="2">
        <v>3</v>
      </c>
      <c r="I82" s="2">
        <v>3</v>
      </c>
      <c r="J82" s="2">
        <v>90</v>
      </c>
      <c r="K82" s="2">
        <v>49</v>
      </c>
      <c r="L82" s="2">
        <v>95</v>
      </c>
      <c r="M82" s="2">
        <v>7</v>
      </c>
      <c r="N82" s="2">
        <v>10452</v>
      </c>
      <c r="O82" s="2">
        <v>18</v>
      </c>
      <c r="P82" s="2">
        <v>544</v>
      </c>
      <c r="Q82" s="2">
        <v>65</v>
      </c>
      <c r="R82" s="2">
        <v>4</v>
      </c>
      <c r="S82" s="2">
        <v>187</v>
      </c>
      <c r="T82" s="2">
        <v>4187</v>
      </c>
      <c r="U82" s="2">
        <v>1</v>
      </c>
      <c r="V82" s="2">
        <v>540</v>
      </c>
      <c r="W82" s="2">
        <v>540</v>
      </c>
      <c r="X82" s="2">
        <v>540</v>
      </c>
      <c r="Y82" s="2">
        <v>0</v>
      </c>
      <c r="Z82" s="2" t="s">
        <v>154</v>
      </c>
      <c r="AA82" s="2" t="s">
        <v>119</v>
      </c>
      <c r="AB82" s="6" t="s">
        <v>36</v>
      </c>
      <c r="AC82" s="7" t="s">
        <v>53</v>
      </c>
      <c r="AD82" s="6">
        <v>0</v>
      </c>
      <c r="AE82" s="7" t="s">
        <v>54</v>
      </c>
      <c r="AF82" s="8" t="str">
        <f>CONCATENATE(AB82," - ",AC82," - ",AD82," - ",AE82)</f>
        <v>Acordo Judicial Vale - 4.4.10 - Ressarcimentos e contratações temporárias - 0 - Contratações temporárias</v>
      </c>
    </row>
    <row r="83" spans="1:32" ht="48" x14ac:dyDescent="0.2">
      <c r="A83" s="2">
        <v>2024</v>
      </c>
      <c r="B83" s="2">
        <v>1370</v>
      </c>
      <c r="C83" s="2" t="s">
        <v>104</v>
      </c>
      <c r="D83" s="2">
        <v>3</v>
      </c>
      <c r="E83" s="2">
        <v>0</v>
      </c>
      <c r="F83" s="2">
        <v>2241</v>
      </c>
      <c r="G83" s="2" t="s">
        <v>118</v>
      </c>
      <c r="H83" s="2">
        <v>3</v>
      </c>
      <c r="I83" s="2">
        <v>1</v>
      </c>
      <c r="J83" s="2">
        <v>90</v>
      </c>
      <c r="K83" s="2">
        <v>4</v>
      </c>
      <c r="L83" s="2">
        <v>95</v>
      </c>
      <c r="M83" s="2">
        <v>1</v>
      </c>
      <c r="N83" s="2">
        <v>10456</v>
      </c>
      <c r="O83" s="2">
        <v>18</v>
      </c>
      <c r="P83" s="2">
        <v>544</v>
      </c>
      <c r="Q83" s="2">
        <v>65</v>
      </c>
      <c r="R83" s="2">
        <v>4</v>
      </c>
      <c r="S83" s="2">
        <v>191</v>
      </c>
      <c r="T83" s="2">
        <v>4191</v>
      </c>
      <c r="U83" s="2">
        <v>1</v>
      </c>
      <c r="V83" s="3">
        <v>459580</v>
      </c>
      <c r="W83" s="3">
        <v>459580</v>
      </c>
      <c r="X83" s="3">
        <v>459580</v>
      </c>
      <c r="Y83" s="2">
        <v>0</v>
      </c>
      <c r="Z83" s="2" t="s">
        <v>154</v>
      </c>
      <c r="AA83" s="2" t="s">
        <v>119</v>
      </c>
      <c r="AB83" s="6" t="s">
        <v>36</v>
      </c>
      <c r="AC83" s="7" t="s">
        <v>53</v>
      </c>
      <c r="AD83" s="6">
        <v>0</v>
      </c>
      <c r="AE83" s="7" t="s">
        <v>54</v>
      </c>
      <c r="AF83" s="8" t="str">
        <f>CONCATENATE(AB83," - ",AC83," - ",AD83," - ",AE83)</f>
        <v>Acordo Judicial Vale - 4.4.10 - Ressarcimentos e contratações temporárias - 0 - Contratações temporárias</v>
      </c>
    </row>
    <row r="84" spans="1:32" ht="48" x14ac:dyDescent="0.2">
      <c r="A84" s="2">
        <v>2024</v>
      </c>
      <c r="B84" s="2">
        <v>1370</v>
      </c>
      <c r="C84" s="2" t="s">
        <v>104</v>
      </c>
      <c r="D84" s="2">
        <v>3</v>
      </c>
      <c r="E84" s="2">
        <v>0</v>
      </c>
      <c r="F84" s="2">
        <v>2241</v>
      </c>
      <c r="G84" s="2" t="s">
        <v>118</v>
      </c>
      <c r="H84" s="2">
        <v>3</v>
      </c>
      <c r="I84" s="2">
        <v>1</v>
      </c>
      <c r="J84" s="2">
        <v>91</v>
      </c>
      <c r="K84" s="2">
        <v>4</v>
      </c>
      <c r="L84" s="2">
        <v>95</v>
      </c>
      <c r="M84" s="2">
        <v>1</v>
      </c>
      <c r="N84" s="2">
        <v>10456</v>
      </c>
      <c r="O84" s="2">
        <v>18</v>
      </c>
      <c r="P84" s="2">
        <v>544</v>
      </c>
      <c r="Q84" s="2">
        <v>65</v>
      </c>
      <c r="R84" s="2">
        <v>4</v>
      </c>
      <c r="S84" s="2">
        <v>191</v>
      </c>
      <c r="T84" s="2">
        <v>4191</v>
      </c>
      <c r="U84" s="2">
        <v>1</v>
      </c>
      <c r="V84" s="3">
        <v>4888</v>
      </c>
      <c r="W84" s="3">
        <v>4888</v>
      </c>
      <c r="X84" s="3">
        <v>4888</v>
      </c>
      <c r="Y84" s="2">
        <v>0</v>
      </c>
      <c r="Z84" s="2" t="s">
        <v>154</v>
      </c>
      <c r="AA84" s="2" t="s">
        <v>119</v>
      </c>
      <c r="AB84" s="6" t="s">
        <v>36</v>
      </c>
      <c r="AC84" s="7" t="s">
        <v>53</v>
      </c>
      <c r="AD84" s="6">
        <v>0</v>
      </c>
      <c r="AE84" s="7" t="s">
        <v>54</v>
      </c>
      <c r="AF84" s="8" t="str">
        <f>CONCATENATE(AB84," - ",AC84," - ",AD84," - ",AE84)</f>
        <v>Acordo Judicial Vale - 4.4.10 - Ressarcimentos e contratações temporárias - 0 - Contratações temporárias</v>
      </c>
    </row>
    <row r="85" spans="1:32" ht="48" x14ac:dyDescent="0.2">
      <c r="A85" s="2">
        <v>2024</v>
      </c>
      <c r="B85" s="2">
        <v>1370</v>
      </c>
      <c r="C85" s="2" t="s">
        <v>104</v>
      </c>
      <c r="D85" s="2">
        <v>3</v>
      </c>
      <c r="E85" s="2">
        <v>0</v>
      </c>
      <c r="F85" s="2">
        <v>2241</v>
      </c>
      <c r="G85" s="2" t="s">
        <v>118</v>
      </c>
      <c r="H85" s="2">
        <v>3</v>
      </c>
      <c r="I85" s="2">
        <v>3</v>
      </c>
      <c r="J85" s="2">
        <v>90</v>
      </c>
      <c r="K85" s="2">
        <v>46</v>
      </c>
      <c r="L85" s="2">
        <v>95</v>
      </c>
      <c r="M85" s="2">
        <v>7</v>
      </c>
      <c r="N85" s="2">
        <v>10456</v>
      </c>
      <c r="O85" s="2">
        <v>18</v>
      </c>
      <c r="P85" s="2">
        <v>544</v>
      </c>
      <c r="Q85" s="2">
        <v>65</v>
      </c>
      <c r="R85" s="2">
        <v>4</v>
      </c>
      <c r="S85" s="2">
        <v>191</v>
      </c>
      <c r="T85" s="2">
        <v>4191</v>
      </c>
      <c r="U85" s="2">
        <v>1</v>
      </c>
      <c r="V85" s="3">
        <v>212558</v>
      </c>
      <c r="W85" s="3">
        <v>212558</v>
      </c>
      <c r="X85" s="3">
        <v>212558</v>
      </c>
      <c r="Y85" s="2">
        <v>0</v>
      </c>
      <c r="Z85" s="2" t="s">
        <v>154</v>
      </c>
      <c r="AA85" s="2" t="s">
        <v>119</v>
      </c>
      <c r="AB85" s="6" t="s">
        <v>36</v>
      </c>
      <c r="AC85" s="7" t="s">
        <v>53</v>
      </c>
      <c r="AD85" s="6">
        <v>0</v>
      </c>
      <c r="AE85" s="7" t="s">
        <v>54</v>
      </c>
      <c r="AF85" s="8" t="str">
        <f>CONCATENATE(AB85," - ",AC85," - ",AD85," - ",AE85)</f>
        <v>Acordo Judicial Vale - 4.4.10 - Ressarcimentos e contratações temporárias - 0 - Contratações temporárias</v>
      </c>
    </row>
    <row r="86" spans="1:32" ht="48" x14ac:dyDescent="0.2">
      <c r="A86" s="2">
        <v>2024</v>
      </c>
      <c r="B86" s="2">
        <v>1370</v>
      </c>
      <c r="C86" s="2" t="s">
        <v>104</v>
      </c>
      <c r="D86" s="2">
        <v>3</v>
      </c>
      <c r="E86" s="2">
        <v>0</v>
      </c>
      <c r="F86" s="2">
        <v>2241</v>
      </c>
      <c r="G86" s="2" t="s">
        <v>118</v>
      </c>
      <c r="H86" s="2">
        <v>3</v>
      </c>
      <c r="I86" s="2">
        <v>3</v>
      </c>
      <c r="J86" s="2">
        <v>90</v>
      </c>
      <c r="K86" s="2">
        <v>49</v>
      </c>
      <c r="L86" s="2">
        <v>95</v>
      </c>
      <c r="M86" s="2">
        <v>7</v>
      </c>
      <c r="N86" s="2">
        <v>10456</v>
      </c>
      <c r="O86" s="2">
        <v>18</v>
      </c>
      <c r="P86" s="2">
        <v>544</v>
      </c>
      <c r="Q86" s="2">
        <v>65</v>
      </c>
      <c r="R86" s="2">
        <v>4</v>
      </c>
      <c r="S86" s="2">
        <v>191</v>
      </c>
      <c r="T86" s="2">
        <v>4191</v>
      </c>
      <c r="U86" s="2">
        <v>1</v>
      </c>
      <c r="V86" s="3">
        <v>4835</v>
      </c>
      <c r="W86" s="3">
        <v>4835</v>
      </c>
      <c r="X86" s="3">
        <v>4835</v>
      </c>
      <c r="Y86" s="2">
        <v>0</v>
      </c>
      <c r="Z86" s="2" t="s">
        <v>154</v>
      </c>
      <c r="AA86" s="2" t="s">
        <v>119</v>
      </c>
      <c r="AB86" s="6" t="s">
        <v>36</v>
      </c>
      <c r="AC86" s="7" t="s">
        <v>53</v>
      </c>
      <c r="AD86" s="6">
        <v>0</v>
      </c>
      <c r="AE86" s="7" t="s">
        <v>54</v>
      </c>
      <c r="AF86" s="8" t="str">
        <f>CONCATENATE(AB86," - ",AC86," - ",AD86," - ",AE86)</f>
        <v>Acordo Judicial Vale - 4.4.10 - Ressarcimentos e contratações temporárias - 0 - Contratações temporárias</v>
      </c>
    </row>
    <row r="87" spans="1:32" ht="64" x14ac:dyDescent="0.2">
      <c r="A87" s="2">
        <v>2024</v>
      </c>
      <c r="B87" s="2">
        <v>1370</v>
      </c>
      <c r="C87" s="2" t="s">
        <v>104</v>
      </c>
      <c r="D87" s="2">
        <v>3</v>
      </c>
      <c r="E87" s="2">
        <v>0</v>
      </c>
      <c r="F87" s="2">
        <v>2441</v>
      </c>
      <c r="G87" s="2" t="s">
        <v>120</v>
      </c>
      <c r="H87" s="2">
        <v>4</v>
      </c>
      <c r="I87" s="2">
        <v>4</v>
      </c>
      <c r="J87" s="2">
        <v>90</v>
      </c>
      <c r="K87" s="2">
        <v>40</v>
      </c>
      <c r="L87" s="2">
        <v>95</v>
      </c>
      <c r="M87" s="2">
        <v>1</v>
      </c>
      <c r="N87" s="2">
        <v>10830</v>
      </c>
      <c r="O87" s="2">
        <v>17</v>
      </c>
      <c r="P87" s="2">
        <v>125</v>
      </c>
      <c r="Q87" s="2">
        <v>10</v>
      </c>
      <c r="R87" s="2">
        <v>4</v>
      </c>
      <c r="S87" s="2">
        <v>469</v>
      </c>
      <c r="T87" s="2">
        <v>4469</v>
      </c>
      <c r="U87" s="2">
        <v>1</v>
      </c>
      <c r="V87" s="3">
        <v>42324</v>
      </c>
      <c r="W87" s="3">
        <v>42324</v>
      </c>
      <c r="X87" s="3">
        <v>42324</v>
      </c>
      <c r="Y87" s="2">
        <v>0</v>
      </c>
      <c r="Z87" s="2" t="s">
        <v>185</v>
      </c>
      <c r="AA87" s="2" t="s">
        <v>121</v>
      </c>
      <c r="AB87" s="6" t="s">
        <v>36</v>
      </c>
      <c r="AC87" s="9" t="s">
        <v>37</v>
      </c>
      <c r="AD87" s="6">
        <v>9288135</v>
      </c>
      <c r="AE87" s="9" t="s">
        <v>122</v>
      </c>
      <c r="AF87" s="8" t="str">
        <f>CONCATENATE(AB87," - ",AC87," - ",AD87," - ",AE87)</f>
        <v>Acordo Judicial Vale - Anexo IV - 9288135 - Implantação do Sistema de Informações Regulatórias da ARSAE-MG</v>
      </c>
    </row>
    <row r="88" spans="1:32" ht="48" x14ac:dyDescent="0.2">
      <c r="A88" s="2">
        <v>2024</v>
      </c>
      <c r="B88" s="2">
        <v>1400</v>
      </c>
      <c r="C88" s="2" t="s">
        <v>123</v>
      </c>
      <c r="D88" s="2">
        <v>3</v>
      </c>
      <c r="E88" s="2">
        <v>0</v>
      </c>
      <c r="F88" s="2">
        <v>1401</v>
      </c>
      <c r="G88" s="2" t="s">
        <v>123</v>
      </c>
      <c r="H88" s="2">
        <v>4</v>
      </c>
      <c r="I88" s="2">
        <v>4</v>
      </c>
      <c r="J88" s="2">
        <v>90</v>
      </c>
      <c r="K88" s="2">
        <v>51</v>
      </c>
      <c r="L88" s="2">
        <v>95</v>
      </c>
      <c r="M88" s="2">
        <v>1</v>
      </c>
      <c r="N88" s="2">
        <v>10404</v>
      </c>
      <c r="O88" s="2">
        <v>6</v>
      </c>
      <c r="P88" s="2">
        <v>182</v>
      </c>
      <c r="Q88" s="2">
        <v>52</v>
      </c>
      <c r="R88" s="2">
        <v>4</v>
      </c>
      <c r="S88" s="2">
        <v>140</v>
      </c>
      <c r="T88" s="2">
        <v>4140</v>
      </c>
      <c r="U88" s="2">
        <v>1</v>
      </c>
      <c r="V88" s="3">
        <v>8998000</v>
      </c>
      <c r="W88" s="3">
        <v>8998000</v>
      </c>
      <c r="X88" s="3">
        <v>8998000</v>
      </c>
      <c r="Y88" s="2">
        <v>0</v>
      </c>
      <c r="Z88" s="2" t="s">
        <v>186</v>
      </c>
      <c r="AA88" s="2" t="s">
        <v>124</v>
      </c>
      <c r="AB88" s="6" t="s">
        <v>36</v>
      </c>
      <c r="AC88" s="9" t="s">
        <v>37</v>
      </c>
      <c r="AD88" s="6">
        <v>9288169</v>
      </c>
      <c r="AE88" s="9" t="s">
        <v>125</v>
      </c>
      <c r="AF88" s="8" t="str">
        <f t="shared" ref="AF88:AF90" si="14">CONCATENATE(AB88," - ",AC88," - ",AD88," - ",AE88)</f>
        <v>Acordo Judicial Vale - Anexo IV - 9288169 - Execução de obras e serviços de engenharia em várias unidades do CBMMG</v>
      </c>
    </row>
    <row r="89" spans="1:32" ht="48" x14ac:dyDescent="0.2">
      <c r="A89" s="2">
        <v>2024</v>
      </c>
      <c r="B89" s="2">
        <v>1400</v>
      </c>
      <c r="C89" s="2" t="s">
        <v>123</v>
      </c>
      <c r="D89" s="2">
        <v>3</v>
      </c>
      <c r="E89" s="2">
        <v>0</v>
      </c>
      <c r="F89" s="2">
        <v>1401</v>
      </c>
      <c r="G89" s="2" t="s">
        <v>123</v>
      </c>
      <c r="H89" s="2">
        <v>4</v>
      </c>
      <c r="I89" s="2">
        <v>4</v>
      </c>
      <c r="J89" s="2">
        <v>90</v>
      </c>
      <c r="K89" s="2">
        <v>52</v>
      </c>
      <c r="L89" s="2">
        <v>95</v>
      </c>
      <c r="M89" s="2">
        <v>1</v>
      </c>
      <c r="N89" s="2">
        <v>10405</v>
      </c>
      <c r="O89" s="2">
        <v>6</v>
      </c>
      <c r="P89" s="2">
        <v>182</v>
      </c>
      <c r="Q89" s="2">
        <v>52</v>
      </c>
      <c r="R89" s="2">
        <v>4</v>
      </c>
      <c r="S89" s="2">
        <v>141</v>
      </c>
      <c r="T89" s="2">
        <v>4141</v>
      </c>
      <c r="U89" s="2">
        <v>1</v>
      </c>
      <c r="V89" s="3">
        <v>1000</v>
      </c>
      <c r="W89" s="3">
        <v>1000</v>
      </c>
      <c r="X89" s="3">
        <v>1000</v>
      </c>
      <c r="Y89" s="2">
        <v>0</v>
      </c>
      <c r="Z89" s="2" t="s">
        <v>187</v>
      </c>
      <c r="AA89" s="2" t="s">
        <v>124</v>
      </c>
      <c r="AB89" s="6" t="s">
        <v>36</v>
      </c>
      <c r="AC89" s="9" t="s">
        <v>37</v>
      </c>
      <c r="AD89" s="6">
        <v>9288167</v>
      </c>
      <c r="AE89" s="9" t="s">
        <v>126</v>
      </c>
      <c r="AF89" s="8" t="str">
        <f t="shared" si="14"/>
        <v>Acordo Judicial Vale - Anexo IV - 9288167 - Reestruturação das Tecnologias de Informação do CBMMG</v>
      </c>
    </row>
    <row r="90" spans="1:32" ht="48" x14ac:dyDescent="0.2">
      <c r="A90" s="2">
        <v>2024</v>
      </c>
      <c r="B90" s="2">
        <v>1400</v>
      </c>
      <c r="C90" s="2" t="s">
        <v>123</v>
      </c>
      <c r="D90" s="2">
        <v>3</v>
      </c>
      <c r="E90" s="2">
        <v>0</v>
      </c>
      <c r="F90" s="2">
        <v>1401</v>
      </c>
      <c r="G90" s="2" t="s">
        <v>123</v>
      </c>
      <c r="H90" s="2">
        <v>4</v>
      </c>
      <c r="I90" s="2">
        <v>4</v>
      </c>
      <c r="J90" s="2">
        <v>90</v>
      </c>
      <c r="K90" s="2">
        <v>52</v>
      </c>
      <c r="L90" s="2">
        <v>95</v>
      </c>
      <c r="M90" s="2">
        <v>1</v>
      </c>
      <c r="N90" s="2">
        <v>10131</v>
      </c>
      <c r="O90" s="2">
        <v>6</v>
      </c>
      <c r="P90" s="2">
        <v>182</v>
      </c>
      <c r="Q90" s="2">
        <v>705</v>
      </c>
      <c r="R90" s="2">
        <v>4</v>
      </c>
      <c r="S90" s="2">
        <v>556</v>
      </c>
      <c r="T90" s="2">
        <v>4556</v>
      </c>
      <c r="U90" s="2">
        <v>1</v>
      </c>
      <c r="V90" s="3">
        <v>1000</v>
      </c>
      <c r="W90" s="3">
        <v>1000</v>
      </c>
      <c r="X90" s="3">
        <v>1000</v>
      </c>
      <c r="Y90" s="2">
        <v>0</v>
      </c>
      <c r="Z90" s="2" t="s">
        <v>188</v>
      </c>
      <c r="AA90" s="2" t="s">
        <v>32</v>
      </c>
      <c r="AB90" s="6" t="s">
        <v>36</v>
      </c>
      <c r="AC90" s="9" t="s">
        <v>37</v>
      </c>
      <c r="AD90" s="6">
        <v>9288182</v>
      </c>
      <c r="AE90" s="9" t="s">
        <v>127</v>
      </c>
      <c r="AF90" s="8" t="str">
        <f t="shared" si="14"/>
        <v>Acordo Judicial Vale - Anexo IV - 9288182 - Ampliação de postos de abastecimento próprios do Estado</v>
      </c>
    </row>
    <row r="91" spans="1:32" ht="48" x14ac:dyDescent="0.2">
      <c r="A91" s="2">
        <v>2024</v>
      </c>
      <c r="B91" s="2">
        <v>1450</v>
      </c>
      <c r="C91" s="2" t="s">
        <v>128</v>
      </c>
      <c r="D91" s="2">
        <v>3</v>
      </c>
      <c r="E91" s="2">
        <v>0</v>
      </c>
      <c r="F91" s="2">
        <v>1451</v>
      </c>
      <c r="G91" s="2" t="s">
        <v>128</v>
      </c>
      <c r="H91" s="2">
        <v>4</v>
      </c>
      <c r="I91" s="2">
        <v>4</v>
      </c>
      <c r="J91" s="2">
        <v>90</v>
      </c>
      <c r="K91" s="2">
        <v>51</v>
      </c>
      <c r="L91" s="2">
        <v>95</v>
      </c>
      <c r="M91" s="2">
        <v>1</v>
      </c>
      <c r="N91" s="2">
        <v>10667</v>
      </c>
      <c r="O91" s="2">
        <v>6</v>
      </c>
      <c r="P91" s="2">
        <v>421</v>
      </c>
      <c r="Q91" s="2">
        <v>130</v>
      </c>
      <c r="R91" s="2">
        <v>1</v>
      </c>
      <c r="S91" s="2">
        <v>47</v>
      </c>
      <c r="T91" s="2">
        <v>1047</v>
      </c>
      <c r="U91" s="2">
        <v>1</v>
      </c>
      <c r="V91" s="3">
        <v>26150000</v>
      </c>
      <c r="W91" s="3">
        <v>26150000</v>
      </c>
      <c r="X91" s="3">
        <v>26150000</v>
      </c>
      <c r="Y91" s="2">
        <v>0</v>
      </c>
      <c r="Z91" s="2" t="s">
        <v>189</v>
      </c>
      <c r="AA91" s="2" t="s">
        <v>129</v>
      </c>
      <c r="AB91" s="6" t="s">
        <v>36</v>
      </c>
      <c r="AC91" s="9" t="s">
        <v>37</v>
      </c>
      <c r="AD91" s="6">
        <v>9288181</v>
      </c>
      <c r="AE91" s="9" t="s">
        <v>130</v>
      </c>
      <c r="AF91" s="8" t="str">
        <f>CONCATENATE(AB91," - ",AC91," - ",AD91," - ",AE91)</f>
        <v>Acordo Judicial Vale - Anexo IV - 9288181 - Reintegração social e humanização do sistema prisional</v>
      </c>
    </row>
    <row r="92" spans="1:32" ht="48" x14ac:dyDescent="0.2">
      <c r="A92" s="2">
        <v>2024</v>
      </c>
      <c r="B92" s="2">
        <v>1480</v>
      </c>
      <c r="C92" s="2" t="s">
        <v>131</v>
      </c>
      <c r="D92" s="2">
        <v>3</v>
      </c>
      <c r="E92" s="2">
        <v>0</v>
      </c>
      <c r="F92" s="2">
        <v>1481</v>
      </c>
      <c r="G92" s="2" t="s">
        <v>131</v>
      </c>
      <c r="H92" s="2">
        <v>3</v>
      </c>
      <c r="I92" s="2">
        <v>1</v>
      </c>
      <c r="J92" s="2">
        <v>90</v>
      </c>
      <c r="K92" s="2">
        <v>4</v>
      </c>
      <c r="L92" s="2">
        <v>95</v>
      </c>
      <c r="M92" s="2">
        <v>1</v>
      </c>
      <c r="N92" s="2">
        <v>9565</v>
      </c>
      <c r="O92" s="2">
        <v>4</v>
      </c>
      <c r="P92" s="2">
        <v>122</v>
      </c>
      <c r="Q92" s="2">
        <v>705</v>
      </c>
      <c r="R92" s="2">
        <v>2</v>
      </c>
      <c r="S92" s="2">
        <v>500</v>
      </c>
      <c r="T92" s="2">
        <v>2500</v>
      </c>
      <c r="U92" s="2">
        <v>1</v>
      </c>
      <c r="V92" s="3">
        <v>162389</v>
      </c>
      <c r="W92" s="3">
        <v>162389</v>
      </c>
      <c r="X92" s="3">
        <v>162389</v>
      </c>
      <c r="Y92" s="2">
        <v>0</v>
      </c>
      <c r="Z92" s="2" t="s">
        <v>154</v>
      </c>
      <c r="AA92" s="2" t="s">
        <v>32</v>
      </c>
      <c r="AB92" s="6" t="s">
        <v>36</v>
      </c>
      <c r="AC92" s="7" t="s">
        <v>53</v>
      </c>
      <c r="AD92" s="6">
        <v>0</v>
      </c>
      <c r="AE92" s="7" t="s">
        <v>54</v>
      </c>
      <c r="AF92" s="8" t="str">
        <f>CONCATENATE(AB92," - ",AC92," - ",AD92," - ",AE92)</f>
        <v>Acordo Judicial Vale - 4.4.10 - Ressarcimentos e contratações temporárias - 0 - Contratações temporárias</v>
      </c>
    </row>
    <row r="93" spans="1:32" ht="48" x14ac:dyDescent="0.2">
      <c r="A93" s="2">
        <v>2024</v>
      </c>
      <c r="B93" s="2">
        <v>1480</v>
      </c>
      <c r="C93" s="2" t="s">
        <v>131</v>
      </c>
      <c r="D93" s="2">
        <v>3</v>
      </c>
      <c r="E93" s="2">
        <v>0</v>
      </c>
      <c r="F93" s="2">
        <v>1481</v>
      </c>
      <c r="G93" s="2" t="s">
        <v>131</v>
      </c>
      <c r="H93" s="2">
        <v>3</v>
      </c>
      <c r="I93" s="2">
        <v>1</v>
      </c>
      <c r="J93" s="2">
        <v>91</v>
      </c>
      <c r="K93" s="2">
        <v>4</v>
      </c>
      <c r="L93" s="2">
        <v>95</v>
      </c>
      <c r="M93" s="2">
        <v>1</v>
      </c>
      <c r="N93" s="2">
        <v>9565</v>
      </c>
      <c r="O93" s="2">
        <v>4</v>
      </c>
      <c r="P93" s="2">
        <v>122</v>
      </c>
      <c r="Q93" s="2">
        <v>705</v>
      </c>
      <c r="R93" s="2">
        <v>2</v>
      </c>
      <c r="S93" s="2">
        <v>500</v>
      </c>
      <c r="T93" s="2">
        <v>2500</v>
      </c>
      <c r="U93" s="2">
        <v>1</v>
      </c>
      <c r="V93" s="3">
        <v>1294</v>
      </c>
      <c r="W93" s="3">
        <v>1294</v>
      </c>
      <c r="X93" s="3">
        <v>1294</v>
      </c>
      <c r="Y93" s="2">
        <v>0</v>
      </c>
      <c r="Z93" s="2" t="s">
        <v>154</v>
      </c>
      <c r="AA93" s="2" t="s">
        <v>32</v>
      </c>
      <c r="AB93" s="6" t="s">
        <v>36</v>
      </c>
      <c r="AC93" s="7" t="s">
        <v>53</v>
      </c>
      <c r="AD93" s="6">
        <v>0</v>
      </c>
      <c r="AE93" s="7" t="s">
        <v>54</v>
      </c>
      <c r="AF93" s="8" t="str">
        <f>CONCATENATE(AB93," - ",AC93," - ",AD93," - ",AE93)</f>
        <v>Acordo Judicial Vale - 4.4.10 - Ressarcimentos e contratações temporárias - 0 - Contratações temporárias</v>
      </c>
    </row>
    <row r="94" spans="1:32" ht="48" x14ac:dyDescent="0.2">
      <c r="A94" s="2">
        <v>2024</v>
      </c>
      <c r="B94" s="2">
        <v>1480</v>
      </c>
      <c r="C94" s="2" t="s">
        <v>131</v>
      </c>
      <c r="D94" s="2">
        <v>3</v>
      </c>
      <c r="E94" s="2">
        <v>0</v>
      </c>
      <c r="F94" s="2">
        <v>1481</v>
      </c>
      <c r="G94" s="2" t="s">
        <v>131</v>
      </c>
      <c r="H94" s="2">
        <v>3</v>
      </c>
      <c r="I94" s="2">
        <v>3</v>
      </c>
      <c r="J94" s="2">
        <v>90</v>
      </c>
      <c r="K94" s="2">
        <v>46</v>
      </c>
      <c r="L94" s="2">
        <v>95</v>
      </c>
      <c r="M94" s="2">
        <v>7</v>
      </c>
      <c r="N94" s="2">
        <v>9565</v>
      </c>
      <c r="O94" s="2">
        <v>4</v>
      </c>
      <c r="P94" s="2">
        <v>122</v>
      </c>
      <c r="Q94" s="2">
        <v>705</v>
      </c>
      <c r="R94" s="2">
        <v>2</v>
      </c>
      <c r="S94" s="2">
        <v>500</v>
      </c>
      <c r="T94" s="2">
        <v>2500</v>
      </c>
      <c r="U94" s="2">
        <v>1</v>
      </c>
      <c r="V94" s="3">
        <v>69854</v>
      </c>
      <c r="W94" s="3">
        <v>69854</v>
      </c>
      <c r="X94" s="3">
        <v>69854</v>
      </c>
      <c r="Y94" s="2">
        <v>0</v>
      </c>
      <c r="Z94" s="2" t="s">
        <v>154</v>
      </c>
      <c r="AA94" s="2" t="s">
        <v>32</v>
      </c>
      <c r="AB94" s="6" t="s">
        <v>36</v>
      </c>
      <c r="AC94" s="7" t="s">
        <v>53</v>
      </c>
      <c r="AD94" s="6">
        <v>0</v>
      </c>
      <c r="AE94" s="7" t="s">
        <v>54</v>
      </c>
      <c r="AF94" s="8" t="str">
        <f>CONCATENATE(AB94," - ",AC94," - ",AD94," - ",AE94)</f>
        <v>Acordo Judicial Vale - 4.4.10 - Ressarcimentos e contratações temporárias - 0 - Contratações temporárias</v>
      </c>
    </row>
    <row r="95" spans="1:32" ht="48" x14ac:dyDescent="0.2">
      <c r="A95" s="2">
        <v>2024</v>
      </c>
      <c r="B95" s="2">
        <v>1480</v>
      </c>
      <c r="C95" s="2" t="s">
        <v>131</v>
      </c>
      <c r="D95" s="2">
        <v>3</v>
      </c>
      <c r="E95" s="2">
        <v>0</v>
      </c>
      <c r="F95" s="2">
        <v>1481</v>
      </c>
      <c r="G95" s="2" t="s">
        <v>131</v>
      </c>
      <c r="H95" s="2">
        <v>3</v>
      </c>
      <c r="I95" s="2">
        <v>3</v>
      </c>
      <c r="J95" s="2">
        <v>90</v>
      </c>
      <c r="K95" s="2">
        <v>49</v>
      </c>
      <c r="L95" s="2">
        <v>95</v>
      </c>
      <c r="M95" s="2">
        <v>7</v>
      </c>
      <c r="N95" s="2">
        <v>9565</v>
      </c>
      <c r="O95" s="2">
        <v>4</v>
      </c>
      <c r="P95" s="2">
        <v>122</v>
      </c>
      <c r="Q95" s="2">
        <v>705</v>
      </c>
      <c r="R95" s="2">
        <v>2</v>
      </c>
      <c r="S95" s="2">
        <v>500</v>
      </c>
      <c r="T95" s="2">
        <v>2500</v>
      </c>
      <c r="U95" s="2">
        <v>1</v>
      </c>
      <c r="V95" s="3">
        <v>7762</v>
      </c>
      <c r="W95" s="3">
        <v>7762</v>
      </c>
      <c r="X95" s="3">
        <v>7762</v>
      </c>
      <c r="Y95" s="2">
        <v>0</v>
      </c>
      <c r="Z95" s="2" t="s">
        <v>154</v>
      </c>
      <c r="AA95" s="2" t="s">
        <v>32</v>
      </c>
      <c r="AB95" s="6" t="s">
        <v>36</v>
      </c>
      <c r="AC95" s="7" t="s">
        <v>53</v>
      </c>
      <c r="AD95" s="6">
        <v>0</v>
      </c>
      <c r="AE95" s="7" t="s">
        <v>54</v>
      </c>
      <c r="AF95" s="8" t="str">
        <f>CONCATENATE(AB95," - ",AC95," - ",AD95," - ",AE95)</f>
        <v>Acordo Judicial Vale - 4.4.10 - Ressarcimentos e contratações temporárias - 0 - Contratações temporárias</v>
      </c>
    </row>
    <row r="96" spans="1:32" ht="48" x14ac:dyDescent="0.2">
      <c r="A96" s="2">
        <v>2024</v>
      </c>
      <c r="B96" s="2">
        <v>1500</v>
      </c>
      <c r="C96" s="2" t="s">
        <v>132</v>
      </c>
      <c r="D96" s="2">
        <v>3</v>
      </c>
      <c r="E96" s="2">
        <v>0</v>
      </c>
      <c r="F96" s="2">
        <v>1501</v>
      </c>
      <c r="G96" s="2" t="s">
        <v>132</v>
      </c>
      <c r="H96" s="2">
        <v>3</v>
      </c>
      <c r="I96" s="2">
        <v>3</v>
      </c>
      <c r="J96" s="2">
        <v>90</v>
      </c>
      <c r="K96" s="2">
        <v>37</v>
      </c>
      <c r="L96" s="2">
        <v>95</v>
      </c>
      <c r="M96" s="2">
        <v>1</v>
      </c>
      <c r="N96" s="2">
        <v>10821</v>
      </c>
      <c r="O96" s="2">
        <v>4</v>
      </c>
      <c r="P96" s="2">
        <v>122</v>
      </c>
      <c r="Q96" s="2">
        <v>155</v>
      </c>
      <c r="R96" s="2">
        <v>4</v>
      </c>
      <c r="S96" s="2">
        <v>462</v>
      </c>
      <c r="T96" s="2">
        <v>4462</v>
      </c>
      <c r="U96" s="2">
        <v>1</v>
      </c>
      <c r="V96" s="3">
        <v>1049043</v>
      </c>
      <c r="W96" s="3">
        <v>1049043</v>
      </c>
      <c r="X96" s="3">
        <v>1049043</v>
      </c>
      <c r="Y96" s="2">
        <v>0</v>
      </c>
      <c r="Z96" s="2" t="s">
        <v>171</v>
      </c>
      <c r="AA96" s="2" t="s">
        <v>133</v>
      </c>
      <c r="AB96" s="6" t="s">
        <v>36</v>
      </c>
      <c r="AC96" s="7" t="s">
        <v>53</v>
      </c>
      <c r="AD96" s="6">
        <v>9288191</v>
      </c>
      <c r="AE96" s="7" t="s">
        <v>86</v>
      </c>
      <c r="AF96" s="8" t="str">
        <f t="shared" ref="AF96:AF97" si="15">CONCATENATE(AB96," - ",AC96," - ",AD96," - ",AE96)</f>
        <v>Acordo Judicial Vale - 4.4.10 - Ressarcimentos e contratações temporárias - 9288191 - Ressarcimentos de despesas públicas</v>
      </c>
    </row>
    <row r="97" spans="1:32" ht="48" x14ac:dyDescent="0.2">
      <c r="A97" s="2">
        <v>2024</v>
      </c>
      <c r="B97" s="2">
        <v>1500</v>
      </c>
      <c r="C97" s="2" t="s">
        <v>132</v>
      </c>
      <c r="D97" s="2">
        <v>3</v>
      </c>
      <c r="E97" s="2">
        <v>0</v>
      </c>
      <c r="F97" s="2">
        <v>1501</v>
      </c>
      <c r="G97" s="2" t="s">
        <v>132</v>
      </c>
      <c r="H97" s="2">
        <v>3</v>
      </c>
      <c r="I97" s="2">
        <v>3</v>
      </c>
      <c r="J97" s="2">
        <v>90</v>
      </c>
      <c r="K97" s="2">
        <v>39</v>
      </c>
      <c r="L97" s="2">
        <v>95</v>
      </c>
      <c r="M97" s="2">
        <v>1</v>
      </c>
      <c r="N97" s="2">
        <v>10821</v>
      </c>
      <c r="O97" s="2">
        <v>4</v>
      </c>
      <c r="P97" s="2">
        <v>122</v>
      </c>
      <c r="Q97" s="2">
        <v>155</v>
      </c>
      <c r="R97" s="2">
        <v>4</v>
      </c>
      <c r="S97" s="2">
        <v>462</v>
      </c>
      <c r="T97" s="2">
        <v>4462</v>
      </c>
      <c r="U97" s="2">
        <v>1</v>
      </c>
      <c r="V97" s="3">
        <v>2083533</v>
      </c>
      <c r="W97" s="3">
        <v>2083533</v>
      </c>
      <c r="X97" s="3">
        <v>2083533</v>
      </c>
      <c r="Y97" s="2">
        <v>0</v>
      </c>
      <c r="Z97" s="2" t="s">
        <v>171</v>
      </c>
      <c r="AA97" s="2" t="s">
        <v>133</v>
      </c>
      <c r="AB97" s="6" t="s">
        <v>36</v>
      </c>
      <c r="AC97" s="7" t="s">
        <v>53</v>
      </c>
      <c r="AD97" s="6">
        <v>9288191</v>
      </c>
      <c r="AE97" s="7" t="s">
        <v>86</v>
      </c>
      <c r="AF97" s="8" t="str">
        <f t="shared" si="15"/>
        <v>Acordo Judicial Vale - 4.4.10 - Ressarcimentos e contratações temporárias - 9288191 - Ressarcimentos de despesas públicas</v>
      </c>
    </row>
    <row r="98" spans="1:32" ht="48" x14ac:dyDescent="0.2">
      <c r="A98" s="2">
        <v>2024</v>
      </c>
      <c r="B98" s="2">
        <v>1500</v>
      </c>
      <c r="C98" s="2" t="s">
        <v>132</v>
      </c>
      <c r="D98" s="2">
        <v>3</v>
      </c>
      <c r="E98" s="2">
        <v>0</v>
      </c>
      <c r="F98" s="2">
        <v>1501</v>
      </c>
      <c r="G98" s="2" t="s">
        <v>132</v>
      </c>
      <c r="H98" s="2">
        <v>3</v>
      </c>
      <c r="I98" s="2">
        <v>1</v>
      </c>
      <c r="J98" s="2">
        <v>90</v>
      </c>
      <c r="K98" s="2">
        <v>4</v>
      </c>
      <c r="L98" s="2">
        <v>95</v>
      </c>
      <c r="M98" s="2">
        <v>1</v>
      </c>
      <c r="N98" s="2">
        <v>10877</v>
      </c>
      <c r="O98" s="2">
        <v>4</v>
      </c>
      <c r="P98" s="2">
        <v>122</v>
      </c>
      <c r="Q98" s="2">
        <v>156</v>
      </c>
      <c r="R98" s="2">
        <v>1</v>
      </c>
      <c r="S98" s="2">
        <v>85</v>
      </c>
      <c r="T98" s="2">
        <v>1085</v>
      </c>
      <c r="U98" s="2">
        <v>1</v>
      </c>
      <c r="V98" s="3">
        <v>876255</v>
      </c>
      <c r="W98" s="3">
        <v>876255</v>
      </c>
      <c r="X98" s="3">
        <v>876255</v>
      </c>
      <c r="Y98" s="2">
        <v>0</v>
      </c>
      <c r="Z98" s="2" t="s">
        <v>154</v>
      </c>
      <c r="AA98" s="2" t="s">
        <v>134</v>
      </c>
      <c r="AB98" s="6" t="s">
        <v>36</v>
      </c>
      <c r="AC98" s="7" t="s">
        <v>53</v>
      </c>
      <c r="AD98" s="6">
        <v>0</v>
      </c>
      <c r="AE98" s="7" t="s">
        <v>54</v>
      </c>
      <c r="AF98" s="8" t="str">
        <f t="shared" ref="AF98:AF102" si="16">CONCATENATE(AB98," - ",AC98," - ",AD98," - ",AE98)</f>
        <v>Acordo Judicial Vale - 4.4.10 - Ressarcimentos e contratações temporárias - 0 - Contratações temporárias</v>
      </c>
    </row>
    <row r="99" spans="1:32" ht="48" x14ac:dyDescent="0.2">
      <c r="A99" s="2">
        <v>2024</v>
      </c>
      <c r="B99" s="2">
        <v>1500</v>
      </c>
      <c r="C99" s="2" t="s">
        <v>132</v>
      </c>
      <c r="D99" s="2">
        <v>3</v>
      </c>
      <c r="E99" s="2">
        <v>0</v>
      </c>
      <c r="F99" s="2">
        <v>1501</v>
      </c>
      <c r="G99" s="2" t="s">
        <v>132</v>
      </c>
      <c r="H99" s="2">
        <v>3</v>
      </c>
      <c r="I99" s="2">
        <v>1</v>
      </c>
      <c r="J99" s="2">
        <v>91</v>
      </c>
      <c r="K99" s="2">
        <v>4</v>
      </c>
      <c r="L99" s="2">
        <v>95</v>
      </c>
      <c r="M99" s="2">
        <v>1</v>
      </c>
      <c r="N99" s="2">
        <v>10877</v>
      </c>
      <c r="O99" s="2">
        <v>4</v>
      </c>
      <c r="P99" s="2">
        <v>122</v>
      </c>
      <c r="Q99" s="2">
        <v>156</v>
      </c>
      <c r="R99" s="2">
        <v>1</v>
      </c>
      <c r="S99" s="2">
        <v>85</v>
      </c>
      <c r="T99" s="2">
        <v>1085</v>
      </c>
      <c r="U99" s="2">
        <v>1</v>
      </c>
      <c r="V99" s="3">
        <v>1198</v>
      </c>
      <c r="W99" s="3">
        <v>1198</v>
      </c>
      <c r="X99" s="3">
        <v>1198</v>
      </c>
      <c r="Y99" s="2">
        <v>0</v>
      </c>
      <c r="Z99" s="2" t="s">
        <v>154</v>
      </c>
      <c r="AA99" s="2" t="s">
        <v>134</v>
      </c>
      <c r="AB99" s="6" t="s">
        <v>36</v>
      </c>
      <c r="AC99" s="7" t="s">
        <v>53</v>
      </c>
      <c r="AD99" s="6">
        <v>0</v>
      </c>
      <c r="AE99" s="7" t="s">
        <v>54</v>
      </c>
      <c r="AF99" s="8" t="str">
        <f t="shared" si="16"/>
        <v>Acordo Judicial Vale - 4.4.10 - Ressarcimentos e contratações temporárias - 0 - Contratações temporárias</v>
      </c>
    </row>
    <row r="100" spans="1:32" ht="48" x14ac:dyDescent="0.2">
      <c r="A100" s="2">
        <v>2024</v>
      </c>
      <c r="B100" s="2">
        <v>1500</v>
      </c>
      <c r="C100" s="2" t="s">
        <v>132</v>
      </c>
      <c r="D100" s="2">
        <v>3</v>
      </c>
      <c r="E100" s="2">
        <v>0</v>
      </c>
      <c r="F100" s="2">
        <v>1501</v>
      </c>
      <c r="G100" s="2" t="s">
        <v>132</v>
      </c>
      <c r="H100" s="2">
        <v>3</v>
      </c>
      <c r="I100" s="2">
        <v>3</v>
      </c>
      <c r="J100" s="2">
        <v>90</v>
      </c>
      <c r="K100" s="2">
        <v>46</v>
      </c>
      <c r="L100" s="2">
        <v>95</v>
      </c>
      <c r="M100" s="2">
        <v>1</v>
      </c>
      <c r="N100" s="2">
        <v>10877</v>
      </c>
      <c r="O100" s="2">
        <v>4</v>
      </c>
      <c r="P100" s="2">
        <v>122</v>
      </c>
      <c r="Q100" s="2">
        <v>156</v>
      </c>
      <c r="R100" s="2">
        <v>1</v>
      </c>
      <c r="S100" s="2">
        <v>85</v>
      </c>
      <c r="T100" s="2">
        <v>1085</v>
      </c>
      <c r="U100" s="2">
        <v>1</v>
      </c>
      <c r="V100" s="3">
        <v>5627</v>
      </c>
      <c r="W100" s="3">
        <v>5627</v>
      </c>
      <c r="X100" s="3">
        <v>5627</v>
      </c>
      <c r="Y100" s="2">
        <v>0</v>
      </c>
      <c r="Z100" s="2" t="s">
        <v>171</v>
      </c>
      <c r="AA100" s="2" t="s">
        <v>134</v>
      </c>
      <c r="AB100" s="6" t="s">
        <v>36</v>
      </c>
      <c r="AC100" s="7" t="s">
        <v>53</v>
      </c>
      <c r="AD100" s="6">
        <v>9288191</v>
      </c>
      <c r="AE100" s="7" t="s">
        <v>86</v>
      </c>
      <c r="AF100" s="8" t="str">
        <f t="shared" si="16"/>
        <v>Acordo Judicial Vale - 4.4.10 - Ressarcimentos e contratações temporárias - 9288191 - Ressarcimentos de despesas públicas</v>
      </c>
    </row>
    <row r="101" spans="1:32" ht="48" x14ac:dyDescent="0.2">
      <c r="A101" s="2">
        <v>2024</v>
      </c>
      <c r="B101" s="2">
        <v>1500</v>
      </c>
      <c r="C101" s="2" t="s">
        <v>132</v>
      </c>
      <c r="D101" s="2">
        <v>3</v>
      </c>
      <c r="E101" s="2">
        <v>0</v>
      </c>
      <c r="F101" s="2">
        <v>1501</v>
      </c>
      <c r="G101" s="2" t="s">
        <v>132</v>
      </c>
      <c r="H101" s="2">
        <v>3</v>
      </c>
      <c r="I101" s="2">
        <v>3</v>
      </c>
      <c r="J101" s="2">
        <v>90</v>
      </c>
      <c r="K101" s="2">
        <v>46</v>
      </c>
      <c r="L101" s="2">
        <v>95</v>
      </c>
      <c r="M101" s="2">
        <v>7</v>
      </c>
      <c r="N101" s="2">
        <v>10877</v>
      </c>
      <c r="O101" s="2">
        <v>4</v>
      </c>
      <c r="P101" s="2">
        <v>122</v>
      </c>
      <c r="Q101" s="2">
        <v>156</v>
      </c>
      <c r="R101" s="2">
        <v>1</v>
      </c>
      <c r="S101" s="2">
        <v>85</v>
      </c>
      <c r="T101" s="2">
        <v>1085</v>
      </c>
      <c r="U101" s="2">
        <v>1</v>
      </c>
      <c r="V101" s="3">
        <v>5627</v>
      </c>
      <c r="W101" s="3">
        <v>5627</v>
      </c>
      <c r="X101" s="3">
        <v>5627</v>
      </c>
      <c r="Y101" s="2">
        <v>0</v>
      </c>
      <c r="Z101" s="2" t="s">
        <v>164</v>
      </c>
      <c r="AA101" s="2" t="s">
        <v>134</v>
      </c>
      <c r="AB101" s="6" t="s">
        <v>36</v>
      </c>
      <c r="AC101" s="7" t="s">
        <v>53</v>
      </c>
      <c r="AD101" s="6">
        <v>9288192</v>
      </c>
      <c r="AE101" s="7" t="s">
        <v>54</v>
      </c>
      <c r="AF101" s="8" t="str">
        <f t="shared" si="16"/>
        <v>Acordo Judicial Vale - 4.4.10 - Ressarcimentos e contratações temporárias - 9288192 - Contratações temporárias</v>
      </c>
    </row>
    <row r="102" spans="1:32" ht="48" x14ac:dyDescent="0.2">
      <c r="A102" s="2">
        <v>2024</v>
      </c>
      <c r="B102" s="2">
        <v>1500</v>
      </c>
      <c r="C102" s="2" t="s">
        <v>132</v>
      </c>
      <c r="D102" s="2">
        <v>3</v>
      </c>
      <c r="E102" s="2">
        <v>0</v>
      </c>
      <c r="F102" s="2">
        <v>1501</v>
      </c>
      <c r="G102" s="2" t="s">
        <v>132</v>
      </c>
      <c r="H102" s="2">
        <v>4</v>
      </c>
      <c r="I102" s="2">
        <v>4</v>
      </c>
      <c r="J102" s="2">
        <v>90</v>
      </c>
      <c r="K102" s="2">
        <v>51</v>
      </c>
      <c r="L102" s="2">
        <v>95</v>
      </c>
      <c r="M102" s="2">
        <v>1</v>
      </c>
      <c r="N102" s="2">
        <v>10877</v>
      </c>
      <c r="O102" s="2">
        <v>4</v>
      </c>
      <c r="P102" s="2">
        <v>122</v>
      </c>
      <c r="Q102" s="2">
        <v>156</v>
      </c>
      <c r="R102" s="2">
        <v>1</v>
      </c>
      <c r="S102" s="2">
        <v>85</v>
      </c>
      <c r="T102" s="2">
        <v>1085</v>
      </c>
      <c r="U102" s="2">
        <v>1</v>
      </c>
      <c r="V102" s="3">
        <v>4500000</v>
      </c>
      <c r="W102" s="3">
        <v>4500000</v>
      </c>
      <c r="X102" s="3">
        <v>4500000</v>
      </c>
      <c r="Y102" s="2">
        <v>0</v>
      </c>
      <c r="Z102" s="2" t="s">
        <v>190</v>
      </c>
      <c r="AA102" s="2" t="s">
        <v>134</v>
      </c>
      <c r="AB102" s="6" t="s">
        <v>36</v>
      </c>
      <c r="AC102" s="9" t="s">
        <v>37</v>
      </c>
      <c r="AD102" s="6">
        <v>9288183</v>
      </c>
      <c r="AE102" s="7" t="s">
        <v>135</v>
      </c>
      <c r="AF102" s="8" t="str">
        <f t="shared" si="16"/>
        <v>Acordo Judicial Vale - Anexo IV - 9288183 - Melhoria da estrutura logística e energética da Cidade Administrativa para redução de custos</v>
      </c>
    </row>
    <row r="103" spans="1:32" ht="48" x14ac:dyDescent="0.2">
      <c r="A103" s="2">
        <v>2024</v>
      </c>
      <c r="B103" s="2">
        <v>1510</v>
      </c>
      <c r="C103" s="2" t="s">
        <v>136</v>
      </c>
      <c r="D103" s="2">
        <v>3</v>
      </c>
      <c r="E103" s="2">
        <v>0</v>
      </c>
      <c r="F103" s="2">
        <v>1511</v>
      </c>
      <c r="G103" s="2" t="s">
        <v>136</v>
      </c>
      <c r="H103" s="2">
        <v>3</v>
      </c>
      <c r="I103" s="2">
        <v>3</v>
      </c>
      <c r="J103" s="2">
        <v>90</v>
      </c>
      <c r="K103" s="2">
        <v>39</v>
      </c>
      <c r="L103" s="2">
        <v>95</v>
      </c>
      <c r="M103" s="2">
        <v>1</v>
      </c>
      <c r="N103" s="2">
        <v>10279</v>
      </c>
      <c r="O103" s="2">
        <v>6</v>
      </c>
      <c r="P103" s="2">
        <v>181</v>
      </c>
      <c r="Q103" s="2">
        <v>32</v>
      </c>
      <c r="R103" s="2">
        <v>4</v>
      </c>
      <c r="S103" s="2">
        <v>60</v>
      </c>
      <c r="T103" s="2">
        <v>4060</v>
      </c>
      <c r="U103" s="2">
        <v>1</v>
      </c>
      <c r="V103" s="3">
        <v>2371499</v>
      </c>
      <c r="W103" s="3">
        <v>2371499</v>
      </c>
      <c r="X103" s="3">
        <v>2371499</v>
      </c>
      <c r="Y103" s="2">
        <v>0</v>
      </c>
      <c r="Z103" s="2" t="s">
        <v>191</v>
      </c>
      <c r="AA103" s="2" t="s">
        <v>137</v>
      </c>
      <c r="AB103" s="6" t="s">
        <v>36</v>
      </c>
      <c r="AC103" s="9" t="s">
        <v>37</v>
      </c>
      <c r="AD103" s="6">
        <v>9288196</v>
      </c>
      <c r="AE103" s="9" t="s">
        <v>138</v>
      </c>
      <c r="AF103" s="8" t="str">
        <f>CONCATENATE(AB103," - ",AC103," - ",AD103," - ",AE103)</f>
        <v>Acordo Judicial Vale - Anexo IV - 9288196 - Estruturação operacional da Polícia Civil de Minas Gerais</v>
      </c>
    </row>
    <row r="104" spans="1:32" ht="48" x14ac:dyDescent="0.2">
      <c r="A104" s="2">
        <v>2024</v>
      </c>
      <c r="B104" s="2">
        <v>1510</v>
      </c>
      <c r="C104" s="2" t="s">
        <v>136</v>
      </c>
      <c r="D104" s="2">
        <v>3</v>
      </c>
      <c r="E104" s="2">
        <v>0</v>
      </c>
      <c r="F104" s="2">
        <v>1511</v>
      </c>
      <c r="G104" s="2" t="s">
        <v>136</v>
      </c>
      <c r="H104" s="2">
        <v>4</v>
      </c>
      <c r="I104" s="2">
        <v>4</v>
      </c>
      <c r="J104" s="2">
        <v>90</v>
      </c>
      <c r="K104" s="2">
        <v>51</v>
      </c>
      <c r="L104" s="2">
        <v>95</v>
      </c>
      <c r="M104" s="2">
        <v>1</v>
      </c>
      <c r="N104" s="2">
        <v>10279</v>
      </c>
      <c r="O104" s="2">
        <v>6</v>
      </c>
      <c r="P104" s="2">
        <v>181</v>
      </c>
      <c r="Q104" s="2">
        <v>32</v>
      </c>
      <c r="R104" s="2">
        <v>4</v>
      </c>
      <c r="S104" s="2">
        <v>60</v>
      </c>
      <c r="T104" s="2">
        <v>4060</v>
      </c>
      <c r="U104" s="2">
        <v>1</v>
      </c>
      <c r="V104" s="3">
        <v>7643425</v>
      </c>
      <c r="W104" s="3">
        <v>7643425</v>
      </c>
      <c r="X104" s="3">
        <v>7643425</v>
      </c>
      <c r="Y104" s="2">
        <v>0</v>
      </c>
      <c r="Z104" s="2" t="s">
        <v>191</v>
      </c>
      <c r="AA104" s="2" t="s">
        <v>137</v>
      </c>
      <c r="AB104" s="6" t="s">
        <v>36</v>
      </c>
      <c r="AC104" s="9" t="s">
        <v>37</v>
      </c>
      <c r="AD104" s="6">
        <v>9288196</v>
      </c>
      <c r="AE104" s="9" t="s">
        <v>138</v>
      </c>
      <c r="AF104" s="8" t="str">
        <f>CONCATENATE(AB104," - ",AC104," - ",AD104," - ",AE104)</f>
        <v>Acordo Judicial Vale - Anexo IV - 9288196 - Estruturação operacional da Polícia Civil de Minas Gerais</v>
      </c>
    </row>
    <row r="105" spans="1:32" ht="48" x14ac:dyDescent="0.2">
      <c r="A105" s="2">
        <v>2024</v>
      </c>
      <c r="B105" s="2">
        <v>1510</v>
      </c>
      <c r="C105" s="2" t="s">
        <v>136</v>
      </c>
      <c r="D105" s="2">
        <v>3</v>
      </c>
      <c r="E105" s="2">
        <v>0</v>
      </c>
      <c r="F105" s="2">
        <v>1511</v>
      </c>
      <c r="G105" s="2" t="s">
        <v>136</v>
      </c>
      <c r="H105" s="2">
        <v>4</v>
      </c>
      <c r="I105" s="2">
        <v>4</v>
      </c>
      <c r="J105" s="2">
        <v>90</v>
      </c>
      <c r="K105" s="2">
        <v>51</v>
      </c>
      <c r="L105" s="2">
        <v>95</v>
      </c>
      <c r="M105" s="2">
        <v>1</v>
      </c>
      <c r="N105" s="2">
        <v>10286</v>
      </c>
      <c r="O105" s="2">
        <v>6</v>
      </c>
      <c r="P105" s="2">
        <v>181</v>
      </c>
      <c r="Q105" s="2">
        <v>32</v>
      </c>
      <c r="R105" s="2">
        <v>4</v>
      </c>
      <c r="S105" s="2">
        <v>63</v>
      </c>
      <c r="T105" s="2">
        <v>4063</v>
      </c>
      <c r="U105" s="2">
        <v>1</v>
      </c>
      <c r="V105" s="3">
        <v>6000000</v>
      </c>
      <c r="W105" s="3">
        <v>6000000</v>
      </c>
      <c r="X105" s="3">
        <v>6000000</v>
      </c>
      <c r="Y105" s="2">
        <v>0</v>
      </c>
      <c r="Z105" s="2" t="s">
        <v>192</v>
      </c>
      <c r="AA105" s="2" t="s">
        <v>137</v>
      </c>
      <c r="AB105" s="6" t="s">
        <v>36</v>
      </c>
      <c r="AC105" s="9" t="s">
        <v>37</v>
      </c>
      <c r="AD105" s="6">
        <v>9288144</v>
      </c>
      <c r="AE105" s="9" t="s">
        <v>139</v>
      </c>
      <c r="AF105" s="8" t="str">
        <f>CONCATENATE(AB105," - ",AC105," - ",AD105," - ",AE105)</f>
        <v>Acordo Judicial Vale - Anexo IV - 9288144 - Construção do Núcleo Integrado de Perícias da Polícia Civil de Minas Gerais</v>
      </c>
    </row>
    <row r="106" spans="1:32" ht="48" x14ac:dyDescent="0.2">
      <c r="A106" s="2">
        <v>2024</v>
      </c>
      <c r="B106" s="2">
        <v>1510</v>
      </c>
      <c r="C106" s="2" t="s">
        <v>136</v>
      </c>
      <c r="D106" s="2">
        <v>3</v>
      </c>
      <c r="E106" s="2">
        <v>0</v>
      </c>
      <c r="F106" s="2">
        <v>1511</v>
      </c>
      <c r="G106" s="2" t="s">
        <v>136</v>
      </c>
      <c r="H106" s="2">
        <v>3</v>
      </c>
      <c r="I106" s="2">
        <v>3</v>
      </c>
      <c r="J106" s="2">
        <v>90</v>
      </c>
      <c r="K106" s="2">
        <v>39</v>
      </c>
      <c r="L106" s="2">
        <v>95</v>
      </c>
      <c r="M106" s="2">
        <v>1</v>
      </c>
      <c r="N106" s="2">
        <v>10294</v>
      </c>
      <c r="O106" s="2">
        <v>6</v>
      </c>
      <c r="P106" s="2">
        <v>183</v>
      </c>
      <c r="Q106" s="2">
        <v>36</v>
      </c>
      <c r="R106" s="2">
        <v>1</v>
      </c>
      <c r="S106" s="2">
        <v>4</v>
      </c>
      <c r="T106" s="2">
        <v>1004</v>
      </c>
      <c r="U106" s="2">
        <v>1</v>
      </c>
      <c r="V106" s="3">
        <v>14924800</v>
      </c>
      <c r="W106" s="3">
        <v>14924800</v>
      </c>
      <c r="X106" s="3">
        <v>14924800</v>
      </c>
      <c r="Y106" s="2">
        <v>0</v>
      </c>
      <c r="Z106" s="2" t="s">
        <v>193</v>
      </c>
      <c r="AA106" s="2" t="s">
        <v>140</v>
      </c>
      <c r="AB106" s="6" t="s">
        <v>36</v>
      </c>
      <c r="AC106" s="9" t="s">
        <v>37</v>
      </c>
      <c r="AD106" s="6">
        <v>9288145</v>
      </c>
      <c r="AE106" s="9" t="s">
        <v>141</v>
      </c>
      <c r="AF106" s="8" t="str">
        <f>CONCATENATE(AB106," - ",AC106," - ",AD106," - ",AE106)</f>
        <v>Acordo Judicial Vale - Anexo IV - 9288145 - Projeto ABIS - Sistema Automatizado de Identificação Biométrica</v>
      </c>
    </row>
    <row r="107" spans="1:32" ht="64" x14ac:dyDescent="0.2">
      <c r="A107" s="2">
        <v>2024</v>
      </c>
      <c r="B107" s="2">
        <v>1510</v>
      </c>
      <c r="C107" s="2" t="s">
        <v>136</v>
      </c>
      <c r="D107" s="2">
        <v>3</v>
      </c>
      <c r="E107" s="2">
        <v>0</v>
      </c>
      <c r="F107" s="2">
        <v>1511</v>
      </c>
      <c r="G107" s="2" t="s">
        <v>136</v>
      </c>
      <c r="H107" s="2">
        <v>3</v>
      </c>
      <c r="I107" s="2">
        <v>3</v>
      </c>
      <c r="J107" s="2">
        <v>90</v>
      </c>
      <c r="K107" s="2">
        <v>39</v>
      </c>
      <c r="L107" s="2">
        <v>95</v>
      </c>
      <c r="M107" s="2">
        <v>1</v>
      </c>
      <c r="N107" s="2">
        <v>10294</v>
      </c>
      <c r="O107" s="2">
        <v>6</v>
      </c>
      <c r="P107" s="2">
        <v>183</v>
      </c>
      <c r="Q107" s="2">
        <v>36</v>
      </c>
      <c r="R107" s="2">
        <v>1</v>
      </c>
      <c r="S107" s="2">
        <v>4</v>
      </c>
      <c r="T107" s="2">
        <v>1004</v>
      </c>
      <c r="U107" s="2">
        <v>1</v>
      </c>
      <c r="V107" s="3">
        <v>4700000</v>
      </c>
      <c r="W107" s="3">
        <v>4700000</v>
      </c>
      <c r="X107" s="3">
        <v>4700000</v>
      </c>
      <c r="Y107" s="2">
        <v>0</v>
      </c>
      <c r="Z107" s="2" t="s">
        <v>194</v>
      </c>
      <c r="AA107" s="2" t="s">
        <v>140</v>
      </c>
      <c r="AB107" s="6" t="s">
        <v>36</v>
      </c>
      <c r="AC107" s="9" t="s">
        <v>37</v>
      </c>
      <c r="AD107" s="6">
        <v>9334530</v>
      </c>
      <c r="AE107" s="9" t="s">
        <v>142</v>
      </c>
      <c r="AF107" s="8" t="str">
        <f>CONCATENATE(AB107," - ",AC107," - ",AD107," - ",AE107)</f>
        <v>Acordo Judicial Vale - Anexo IV - 9334530 - Modernização da identificação civil e criminal - Digitalização do acervo de fichas datiloscópicas e cartões onomásticos</v>
      </c>
    </row>
    <row r="108" spans="1:32" ht="48" x14ac:dyDescent="0.2">
      <c r="A108" s="2">
        <v>2024</v>
      </c>
      <c r="B108" s="2">
        <v>1520</v>
      </c>
      <c r="C108" s="2" t="s">
        <v>143</v>
      </c>
      <c r="D108" s="2">
        <v>3</v>
      </c>
      <c r="E108" s="2">
        <v>0</v>
      </c>
      <c r="F108" s="2">
        <v>1521</v>
      </c>
      <c r="G108" s="2" t="s">
        <v>143</v>
      </c>
      <c r="H108" s="2">
        <v>4</v>
      </c>
      <c r="I108" s="2">
        <v>4</v>
      </c>
      <c r="J108" s="2">
        <v>90</v>
      </c>
      <c r="K108" s="2">
        <v>40</v>
      </c>
      <c r="L108" s="2">
        <v>95</v>
      </c>
      <c r="M108" s="2">
        <v>1</v>
      </c>
      <c r="N108" s="2">
        <v>10611</v>
      </c>
      <c r="O108" s="2">
        <v>4</v>
      </c>
      <c r="P108" s="2">
        <v>124</v>
      </c>
      <c r="Q108" s="2">
        <v>1</v>
      </c>
      <c r="R108" s="2">
        <v>4</v>
      </c>
      <c r="S108" s="2">
        <v>304</v>
      </c>
      <c r="T108" s="2">
        <v>4304</v>
      </c>
      <c r="U108" s="2">
        <v>1</v>
      </c>
      <c r="V108" s="3">
        <v>394291</v>
      </c>
      <c r="W108" s="3">
        <v>394291</v>
      </c>
      <c r="X108" s="3">
        <v>394291</v>
      </c>
      <c r="Y108" s="2">
        <v>0</v>
      </c>
      <c r="Z108" s="2" t="s">
        <v>195</v>
      </c>
      <c r="AA108" s="2" t="s">
        <v>144</v>
      </c>
      <c r="AB108" s="6" t="s">
        <v>36</v>
      </c>
      <c r="AC108" s="9" t="s">
        <v>37</v>
      </c>
      <c r="AD108" s="6">
        <v>9288155</v>
      </c>
      <c r="AE108" s="9" t="s">
        <v>145</v>
      </c>
      <c r="AF108" s="8" t="str">
        <f>CONCATENATE(AB108," - ",AC108," - ",AD108," - ",AE108)</f>
        <v>Acordo Judicial Vale - Anexo IV - 9288155 - Fortalecimento e reestruturação tecnológica da Controladoria Geral do Estado</v>
      </c>
    </row>
    <row r="109" spans="1:32" ht="48" x14ac:dyDescent="0.2">
      <c r="A109" s="2">
        <v>2024</v>
      </c>
      <c r="B109" s="2">
        <v>1520</v>
      </c>
      <c r="C109" s="2" t="s">
        <v>143</v>
      </c>
      <c r="D109" s="2">
        <v>3</v>
      </c>
      <c r="E109" s="2">
        <v>0</v>
      </c>
      <c r="F109" s="2">
        <v>1521</v>
      </c>
      <c r="G109" s="2" t="s">
        <v>143</v>
      </c>
      <c r="H109" s="2">
        <v>3</v>
      </c>
      <c r="I109" s="2">
        <v>3</v>
      </c>
      <c r="J109" s="2">
        <v>90</v>
      </c>
      <c r="K109" s="2">
        <v>40</v>
      </c>
      <c r="L109" s="2">
        <v>95</v>
      </c>
      <c r="M109" s="2">
        <v>1</v>
      </c>
      <c r="N109" s="2">
        <v>10616</v>
      </c>
      <c r="O109" s="2">
        <v>4</v>
      </c>
      <c r="P109" s="2">
        <v>124</v>
      </c>
      <c r="Q109" s="2">
        <v>2</v>
      </c>
      <c r="R109" s="2">
        <v>4</v>
      </c>
      <c r="S109" s="2">
        <v>309</v>
      </c>
      <c r="T109" s="2">
        <v>4309</v>
      </c>
      <c r="U109" s="2">
        <v>1</v>
      </c>
      <c r="V109" s="3">
        <v>41105</v>
      </c>
      <c r="W109" s="3">
        <v>41105</v>
      </c>
      <c r="X109" s="3">
        <v>41105</v>
      </c>
      <c r="Y109" s="2">
        <v>0</v>
      </c>
      <c r="Z109" s="2" t="s">
        <v>195</v>
      </c>
      <c r="AA109" s="2" t="s">
        <v>146</v>
      </c>
      <c r="AB109" s="6" t="s">
        <v>36</v>
      </c>
      <c r="AC109" s="9" t="s">
        <v>37</v>
      </c>
      <c r="AD109" s="6">
        <v>9288155</v>
      </c>
      <c r="AE109" s="9" t="s">
        <v>145</v>
      </c>
      <c r="AF109" s="8" t="str">
        <f>CONCATENATE(AB109," - ",AC109," - ",AD109," - ",AE109)</f>
        <v>Acordo Judicial Vale - Anexo IV - 9288155 - Fortalecimento e reestruturação tecnológica da Controladoria Geral do Estado</v>
      </c>
    </row>
    <row r="110" spans="1:32" ht="48" x14ac:dyDescent="0.2">
      <c r="A110" s="2">
        <v>2024</v>
      </c>
      <c r="B110" s="2">
        <v>1520</v>
      </c>
      <c r="C110" s="2" t="s">
        <v>143</v>
      </c>
      <c r="D110" s="2">
        <v>3</v>
      </c>
      <c r="E110" s="2">
        <v>0</v>
      </c>
      <c r="F110" s="2">
        <v>1521</v>
      </c>
      <c r="G110" s="2" t="s">
        <v>143</v>
      </c>
      <c r="H110" s="2">
        <v>4</v>
      </c>
      <c r="I110" s="2">
        <v>4</v>
      </c>
      <c r="J110" s="2">
        <v>90</v>
      </c>
      <c r="K110" s="2">
        <v>40</v>
      </c>
      <c r="L110" s="2">
        <v>95</v>
      </c>
      <c r="M110" s="2">
        <v>1</v>
      </c>
      <c r="N110" s="2">
        <v>10616</v>
      </c>
      <c r="O110" s="2">
        <v>4</v>
      </c>
      <c r="P110" s="2">
        <v>124</v>
      </c>
      <c r="Q110" s="2">
        <v>2</v>
      </c>
      <c r="R110" s="2">
        <v>4</v>
      </c>
      <c r="S110" s="2">
        <v>309</v>
      </c>
      <c r="T110" s="2">
        <v>4309</v>
      </c>
      <c r="U110" s="2">
        <v>1</v>
      </c>
      <c r="V110" s="3">
        <v>259074</v>
      </c>
      <c r="W110" s="3">
        <v>259074</v>
      </c>
      <c r="X110" s="3">
        <v>259074</v>
      </c>
      <c r="Y110" s="2">
        <v>0</v>
      </c>
      <c r="Z110" s="2" t="s">
        <v>195</v>
      </c>
      <c r="AA110" s="2" t="s">
        <v>146</v>
      </c>
      <c r="AB110" s="6" t="s">
        <v>36</v>
      </c>
      <c r="AC110" s="9" t="s">
        <v>37</v>
      </c>
      <c r="AD110" s="6">
        <v>9288155</v>
      </c>
      <c r="AE110" s="9" t="s">
        <v>145</v>
      </c>
      <c r="AF110" s="8" t="str">
        <f>CONCATENATE(AB110," - ",AC110," - ",AD110," - ",AE110)</f>
        <v>Acordo Judicial Vale - Anexo IV - 9288155 - Fortalecimento e reestruturação tecnológica da Controladoria Geral do Estado</v>
      </c>
    </row>
    <row r="111" spans="1:32" ht="48" x14ac:dyDescent="0.2">
      <c r="A111" s="2">
        <v>2024</v>
      </c>
      <c r="B111" s="2">
        <v>1520</v>
      </c>
      <c r="C111" s="2" t="s">
        <v>143</v>
      </c>
      <c r="D111" s="2">
        <v>3</v>
      </c>
      <c r="E111" s="2">
        <v>0</v>
      </c>
      <c r="F111" s="2">
        <v>1521</v>
      </c>
      <c r="G111" s="2" t="s">
        <v>143</v>
      </c>
      <c r="H111" s="2">
        <v>4</v>
      </c>
      <c r="I111" s="2">
        <v>4</v>
      </c>
      <c r="J111" s="2">
        <v>90</v>
      </c>
      <c r="K111" s="2">
        <v>40</v>
      </c>
      <c r="L111" s="2">
        <v>95</v>
      </c>
      <c r="M111" s="2">
        <v>1</v>
      </c>
      <c r="N111" s="2">
        <v>10618</v>
      </c>
      <c r="O111" s="2">
        <v>4</v>
      </c>
      <c r="P111" s="2">
        <v>124</v>
      </c>
      <c r="Q111" s="2">
        <v>3</v>
      </c>
      <c r="R111" s="2">
        <v>4</v>
      </c>
      <c r="S111" s="2">
        <v>311</v>
      </c>
      <c r="T111" s="2">
        <v>4311</v>
      </c>
      <c r="U111" s="2">
        <v>1</v>
      </c>
      <c r="V111" s="3">
        <v>459240</v>
      </c>
      <c r="W111" s="3">
        <v>459240</v>
      </c>
      <c r="X111" s="3">
        <v>459240</v>
      </c>
      <c r="Y111" s="2">
        <v>0</v>
      </c>
      <c r="Z111" s="2" t="s">
        <v>195</v>
      </c>
      <c r="AA111" s="2" t="s">
        <v>147</v>
      </c>
      <c r="AB111" s="6" t="s">
        <v>36</v>
      </c>
      <c r="AC111" s="9" t="s">
        <v>37</v>
      </c>
      <c r="AD111" s="6">
        <v>9288155</v>
      </c>
      <c r="AE111" s="9" t="s">
        <v>145</v>
      </c>
      <c r="AF111" s="8" t="str">
        <f>CONCATENATE(AB111," - ",AC111," - ",AD111," - ",AE111)</f>
        <v>Acordo Judicial Vale - Anexo IV - 9288155 - Fortalecimento e reestruturação tecnológica da Controladoria Geral do Estado</v>
      </c>
    </row>
  </sheetData>
  <autoFilter ref="A1:AF111" xr:uid="{00000000-0001-0000-0000-000000000000}"/>
  <pageMargins left="0.78740157499999996" right="0.78740157499999996" top="0.984251969" bottom="0.984251969" header="0.4921259845" footer="0.4921259845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0B48C6A71B58C48A22499B3FBD0C5AB" ma:contentTypeVersion="17" ma:contentTypeDescription="Crie um novo documento." ma:contentTypeScope="" ma:versionID="7f734e4da912489286db433462c27b83">
  <xsd:schema xmlns:xsd="http://www.w3.org/2001/XMLSchema" xmlns:xs="http://www.w3.org/2001/XMLSchema" xmlns:p="http://schemas.microsoft.com/office/2006/metadata/properties" xmlns:ns2="ad1a0d50-b04c-47c2-aecf-ce05d35f4ea1" xmlns:ns3="9130dfcb-b4a9-4659-a000-3866fb0c64c6" targetNamespace="http://schemas.microsoft.com/office/2006/metadata/properties" ma:root="true" ma:fieldsID="703e2f7024aad083a69a1723215fa9d2" ns2:_="" ns3:_="">
    <xsd:import namespace="ad1a0d50-b04c-47c2-aecf-ce05d35f4ea1"/>
    <xsd:import namespace="9130dfcb-b4a9-4659-a000-3866fb0c64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1a0d50-b04c-47c2-aecf-ce05d35f4e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917d32f3-4fa4-4f5b-a8d0-62dbd3d265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30dfcb-b4a9-4659-a000-3866fb0c64c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04bcee71-260e-4af6-8c91-84ac34d67b58}" ma:internalName="TaxCatchAll" ma:showField="CatchAllData" ma:web="9130dfcb-b4a9-4659-a000-3866fb0c64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130dfcb-b4a9-4659-a000-3866fb0c64c6" xsi:nil="true"/>
    <lcf76f155ced4ddcb4097134ff3c332f xmlns="ad1a0d50-b04c-47c2-aecf-ce05d35f4ea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AD0B25-D868-44EE-8062-CF8B6A435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1a0d50-b04c-47c2-aecf-ce05d35f4ea1"/>
    <ds:schemaRef ds:uri="9130dfcb-b4a9-4659-a000-3866fb0c64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8855CD-6EFB-4850-8F74-8880E2063DDF}">
  <ds:schemaRefs>
    <ds:schemaRef ds:uri="http://schemas.microsoft.com/office/2006/metadata/properties"/>
    <ds:schemaRef ds:uri="http://schemas.microsoft.com/office/infopath/2007/PartnerControls"/>
    <ds:schemaRef ds:uri="9130dfcb-b4a9-4659-a000-3866fb0c64c6"/>
    <ds:schemaRef ds:uri="ad1a0d50-b04c-47c2-aecf-ce05d35f4ea1"/>
  </ds:schemaRefs>
</ds:datastoreItem>
</file>

<file path=customXml/itemProps3.xml><?xml version="1.0" encoding="utf-8"?>
<ds:datastoreItem xmlns:ds="http://schemas.openxmlformats.org/officeDocument/2006/customXml" ds:itemID="{93CCD4E8-DFC6-4C34-A248-57B453C8A7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base_qdd_fiscal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Geração de Bases</dc:title>
  <dc:subject/>
  <dc:creator>Carolina Fonseca Moreira (SEPLAG)</dc:creator>
  <cp:keywords/>
  <dc:description/>
  <cp:lastModifiedBy>Francisco Alves de Oliveira Júnior (SEPLAG)</cp:lastModifiedBy>
  <cp:revision/>
  <dcterms:created xsi:type="dcterms:W3CDTF">2024-02-07T13:59:41Z</dcterms:created>
  <dcterms:modified xsi:type="dcterms:W3CDTF">2024-04-25T21:03:18Z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0x01010070B48C6A71B58C48A22499B3FBD0C5AB</vt:lpwstr>
  </property>
  <property fmtid="{D5CDD505-2E9C-101B-9397-08002B2CF9AE}" pid="3" name="MediaServiceImageTags">
    <vt:lpwstr/>
  </property>
</Properties>
</file>